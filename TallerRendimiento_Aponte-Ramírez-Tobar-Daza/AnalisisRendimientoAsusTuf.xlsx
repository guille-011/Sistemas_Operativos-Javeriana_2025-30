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acfd8e50c34046/2025 Cuarto Semestre/Sistemas Operativos/Taller de evaluación de rendimiento/"/>
    </mc:Choice>
  </mc:AlternateContent>
  <xr:revisionPtr revIDLastSave="100" documentId="8_{90D762F0-B356-4EF9-93E5-A52479E077B1}" xr6:coauthVersionLast="47" xr6:coauthVersionMax="47" xr10:uidLastSave="{64376A69-8597-452D-818D-15630A52136A}"/>
  <bookViews>
    <workbookView xWindow="24" yWindow="24" windowWidth="23016" windowHeight="12216" activeTab="2" xr2:uid="{6FBAE34B-A4D4-4AE5-8E06-5619365ACB10}"/>
  </bookViews>
  <sheets>
    <sheet name="Información completa" sheetId="1" r:id="rId1"/>
    <sheet name="Gráficas SpeedUp" sheetId="2" r:id="rId2"/>
    <sheet name="Gráficas Tiemp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9" i="3" l="1" a="1"/>
  <c r="D119" i="3" s="1"/>
  <c r="D81" i="3" a="1"/>
  <c r="D81" i="3" s="1"/>
  <c r="D43" i="3" a="1"/>
  <c r="D43" i="3" s="1"/>
  <c r="D5" i="3" a="1"/>
  <c r="D5" i="3" s="1"/>
  <c r="F220" i="2"/>
  <c r="G220" i="2"/>
  <c r="H220" i="2"/>
  <c r="M213" i="2"/>
  <c r="H146" i="2"/>
  <c r="M145" i="2"/>
  <c r="E81" i="2"/>
  <c r="M77" i="2"/>
  <c r="M9" i="2"/>
  <c r="E10" i="2"/>
  <c r="X35" i="1" a="1"/>
  <c r="X35" i="1" s="1"/>
  <c r="G16" i="2" s="1"/>
  <c r="O35" i="1" a="1"/>
  <c r="O35" i="1" s="1"/>
  <c r="F13" i="2" s="1"/>
  <c r="E35" i="1" a="1"/>
  <c r="E35" i="1" s="1"/>
  <c r="D10" i="2" s="1"/>
  <c r="E143" i="1" a="1"/>
  <c r="E143" i="1" s="1"/>
  <c r="D214" i="2" s="1"/>
  <c r="N143" i="1" a="1"/>
  <c r="N143" i="1" s="1"/>
  <c r="E217" i="2" s="1"/>
  <c r="W143" i="1" a="1"/>
  <c r="W143" i="1" s="1"/>
  <c r="Z143" i="1" a="1"/>
  <c r="Z143" i="1" s="1"/>
  <c r="I220" i="2" s="1"/>
  <c r="Z107" i="1" a="1"/>
  <c r="Z107" i="1" s="1"/>
  <c r="I152" i="2" s="1"/>
  <c r="E107" i="1" a="1"/>
  <c r="E107" i="1" s="1"/>
  <c r="D146" i="2" s="1"/>
  <c r="Q107" i="1" a="1"/>
  <c r="Q107" i="1" s="1"/>
  <c r="H149" i="2" s="1"/>
  <c r="R71" i="1" a="1"/>
  <c r="R71" i="1" s="1"/>
  <c r="I81" i="2" s="1"/>
  <c r="F71" i="1" a="1"/>
  <c r="F71" i="1" s="1"/>
  <c r="E78" i="2" s="1"/>
  <c r="E71" i="1" a="1"/>
  <c r="E71" i="1" s="1"/>
  <c r="D78" i="2" s="1"/>
  <c r="AH143" i="1" a="1"/>
  <c r="AH143" i="1" s="1"/>
  <c r="I223" i="2" s="1"/>
  <c r="AG143" i="1" a="1"/>
  <c r="AG143" i="1" s="1"/>
  <c r="H223" i="2" s="1"/>
  <c r="AF143" i="1" a="1"/>
  <c r="AF143" i="1" s="1"/>
  <c r="G223" i="2" s="1"/>
  <c r="AE143" i="1" a="1"/>
  <c r="AE143" i="1" s="1"/>
  <c r="F223" i="2" s="1"/>
  <c r="AD143" i="1" a="1"/>
  <c r="AD143" i="1" s="1"/>
  <c r="E223" i="2" s="1"/>
  <c r="AC143" i="1" a="1"/>
  <c r="AC143" i="1" s="1"/>
  <c r="D223" i="2" s="1"/>
  <c r="Y143" i="1" a="1"/>
  <c r="Y143" i="1" s="1"/>
  <c r="X143" i="1" a="1"/>
  <c r="X143" i="1" s="1"/>
  <c r="V143" i="1" a="1"/>
  <c r="V143" i="1" s="1"/>
  <c r="E220" i="2" s="1"/>
  <c r="U143" i="1" a="1"/>
  <c r="U143" i="1" s="1"/>
  <c r="D220" i="2" s="1"/>
  <c r="R143" i="1" a="1"/>
  <c r="R143" i="1" s="1"/>
  <c r="I217" i="2" s="1"/>
  <c r="Q143" i="1" a="1"/>
  <c r="Q143" i="1" s="1"/>
  <c r="H217" i="2" s="1"/>
  <c r="P143" i="1" a="1"/>
  <c r="P143" i="1" s="1"/>
  <c r="G217" i="2" s="1"/>
  <c r="O143" i="1" a="1"/>
  <c r="O143" i="1" s="1"/>
  <c r="F217" i="2" s="1"/>
  <c r="M143" i="1" a="1"/>
  <c r="M143" i="1" s="1"/>
  <c r="D217" i="2" s="1"/>
  <c r="G216" i="2" s="1"/>
  <c r="J143" i="1" a="1"/>
  <c r="J143" i="1" s="1"/>
  <c r="I214" i="2" s="1"/>
  <c r="I143" i="1" a="1"/>
  <c r="I143" i="1" s="1"/>
  <c r="H214" i="2" s="1"/>
  <c r="H143" i="1" a="1"/>
  <c r="H143" i="1" s="1"/>
  <c r="G214" i="2" s="1"/>
  <c r="G143" i="1" a="1"/>
  <c r="G143" i="1" s="1"/>
  <c r="F214" i="2" s="1"/>
  <c r="F143" i="1" a="1"/>
  <c r="F143" i="1" s="1"/>
  <c r="E214" i="2" s="1"/>
  <c r="AH107" i="1" a="1"/>
  <c r="AH107" i="1" s="1"/>
  <c r="I155" i="2" s="1"/>
  <c r="AG107" i="1" a="1"/>
  <c r="AG107" i="1" s="1"/>
  <c r="H155" i="2" s="1"/>
  <c r="AF107" i="1" a="1"/>
  <c r="AF107" i="1" s="1"/>
  <c r="G155" i="2" s="1"/>
  <c r="AE107" i="1" a="1"/>
  <c r="AE107" i="1" s="1"/>
  <c r="F155" i="2" s="1"/>
  <c r="AD107" i="1" a="1"/>
  <c r="AD107" i="1" s="1"/>
  <c r="E155" i="2" s="1"/>
  <c r="AC107" i="1" a="1"/>
  <c r="AC107" i="1" s="1"/>
  <c r="D155" i="2" s="1"/>
  <c r="Y107" i="1" a="1"/>
  <c r="Y107" i="1" s="1"/>
  <c r="H152" i="2" s="1"/>
  <c r="X107" i="1" a="1"/>
  <c r="X107" i="1" s="1"/>
  <c r="G152" i="2" s="1"/>
  <c r="W107" i="1" a="1"/>
  <c r="W107" i="1" s="1"/>
  <c r="F152" i="2" s="1"/>
  <c r="V107" i="1" a="1"/>
  <c r="V107" i="1" s="1"/>
  <c r="E152" i="2" s="1"/>
  <c r="U107" i="1" a="1"/>
  <c r="U107" i="1" s="1"/>
  <c r="D152" i="2" s="1"/>
  <c r="R107" i="1" a="1"/>
  <c r="R107" i="1" s="1"/>
  <c r="I149" i="2" s="1"/>
  <c r="P107" i="1" a="1"/>
  <c r="P107" i="1" s="1"/>
  <c r="G149" i="2" s="1"/>
  <c r="O107" i="1" a="1"/>
  <c r="O107" i="1" s="1"/>
  <c r="F149" i="2" s="1"/>
  <c r="N107" i="1" a="1"/>
  <c r="N107" i="1" s="1"/>
  <c r="E149" i="2" s="1"/>
  <c r="M107" i="1" a="1"/>
  <c r="M107" i="1" s="1"/>
  <c r="D149" i="2" s="1"/>
  <c r="J107" i="1" a="1"/>
  <c r="J107" i="1" s="1"/>
  <c r="I146" i="2" s="1"/>
  <c r="I107" i="1" a="1"/>
  <c r="I107" i="1" s="1"/>
  <c r="H107" i="1" a="1"/>
  <c r="H107" i="1" s="1"/>
  <c r="G146" i="2" s="1"/>
  <c r="G107" i="1" a="1"/>
  <c r="G107" i="1" s="1"/>
  <c r="F146" i="2" s="1"/>
  <c r="F107" i="1" a="1"/>
  <c r="F107" i="1" s="1"/>
  <c r="E146" i="2" s="1"/>
  <c r="AH71" i="1" a="1"/>
  <c r="AH71" i="1" s="1"/>
  <c r="I87" i="2" s="1"/>
  <c r="AG71" i="1" a="1"/>
  <c r="AG71" i="1" s="1"/>
  <c r="H87" i="2" s="1"/>
  <c r="AF71" i="1" a="1"/>
  <c r="AF71" i="1" s="1"/>
  <c r="G87" i="2" s="1"/>
  <c r="AE71" i="1" a="1"/>
  <c r="AE71" i="1" s="1"/>
  <c r="F87" i="2" s="1"/>
  <c r="AD71" i="1" a="1"/>
  <c r="AD71" i="1" s="1"/>
  <c r="E87" i="2" s="1"/>
  <c r="AC71" i="1" a="1"/>
  <c r="AC71" i="1" s="1"/>
  <c r="D87" i="2" s="1"/>
  <c r="Z71" i="1" a="1"/>
  <c r="Z71" i="1" s="1"/>
  <c r="I84" i="2" s="1"/>
  <c r="Y71" i="1" a="1"/>
  <c r="Y71" i="1" s="1"/>
  <c r="H84" i="2" s="1"/>
  <c r="X71" i="1" a="1"/>
  <c r="X71" i="1" s="1"/>
  <c r="G84" i="2" s="1"/>
  <c r="W71" i="1" a="1"/>
  <c r="W71" i="1" s="1"/>
  <c r="F84" i="2" s="1"/>
  <c r="V71" i="1" a="1"/>
  <c r="V71" i="1" s="1"/>
  <c r="E84" i="2" s="1"/>
  <c r="U71" i="1" a="1"/>
  <c r="U71" i="1" s="1"/>
  <c r="D84" i="2" s="1"/>
  <c r="Q71" i="1" a="1"/>
  <c r="Q71" i="1" s="1"/>
  <c r="H81" i="2" s="1"/>
  <c r="P71" i="1" a="1"/>
  <c r="P71" i="1" s="1"/>
  <c r="G81" i="2" s="1"/>
  <c r="O71" i="1" a="1"/>
  <c r="O71" i="1" s="1"/>
  <c r="F81" i="2" s="1"/>
  <c r="N71" i="1" a="1"/>
  <c r="N71" i="1" s="1"/>
  <c r="M71" i="1" a="1"/>
  <c r="M71" i="1" s="1"/>
  <c r="D81" i="2" s="1"/>
  <c r="J71" i="1" a="1"/>
  <c r="J71" i="1" s="1"/>
  <c r="I78" i="2" s="1"/>
  <c r="I71" i="1" a="1"/>
  <c r="I71" i="1" s="1"/>
  <c r="H78" i="2" s="1"/>
  <c r="H71" i="1" a="1"/>
  <c r="H71" i="1" s="1"/>
  <c r="G78" i="2" s="1"/>
  <c r="G71" i="1" a="1"/>
  <c r="G71" i="1" s="1"/>
  <c r="F78" i="2" s="1"/>
  <c r="F35" i="1" a="1"/>
  <c r="F35" i="1" s="1"/>
  <c r="G35" i="1" a="1"/>
  <c r="G35" i="1" s="1"/>
  <c r="F10" i="2" s="1"/>
  <c r="H35" i="1" a="1"/>
  <c r="H35" i="1" s="1"/>
  <c r="G10" i="2" s="1"/>
  <c r="I35" i="1" a="1"/>
  <c r="I35" i="1" s="1"/>
  <c r="H10" i="2" s="1"/>
  <c r="J35" i="1" a="1"/>
  <c r="J35" i="1" s="1"/>
  <c r="I10" i="2" s="1"/>
  <c r="M35" i="1" a="1"/>
  <c r="M35" i="1" s="1"/>
  <c r="D13" i="2" s="1"/>
  <c r="N35" i="1" a="1"/>
  <c r="N35" i="1" s="1"/>
  <c r="E13" i="2" s="1"/>
  <c r="P35" i="1" a="1"/>
  <c r="P35" i="1" s="1"/>
  <c r="G13" i="2" s="1"/>
  <c r="Q35" i="1" a="1"/>
  <c r="Q35" i="1" s="1"/>
  <c r="H13" i="2" s="1"/>
  <c r="R35" i="1" a="1"/>
  <c r="R35" i="1" s="1"/>
  <c r="I13" i="2" s="1"/>
  <c r="U35" i="1" a="1"/>
  <c r="U35" i="1" s="1"/>
  <c r="D16" i="2" s="1"/>
  <c r="V35" i="1" a="1"/>
  <c r="V35" i="1" s="1"/>
  <c r="E16" i="2" s="1"/>
  <c r="W35" i="1" a="1"/>
  <c r="W35" i="1" s="1"/>
  <c r="F16" i="2" s="1"/>
  <c r="Y35" i="1" a="1"/>
  <c r="Y35" i="1" s="1"/>
  <c r="H16" i="2" s="1"/>
  <c r="Z35" i="1" a="1"/>
  <c r="Z35" i="1" s="1"/>
  <c r="I16" i="2" s="1"/>
  <c r="AC35" i="1" a="1"/>
  <c r="AC35" i="1" s="1"/>
  <c r="D19" i="2" s="1"/>
  <c r="AD35" i="1" a="1"/>
  <c r="AD35" i="1" s="1"/>
  <c r="E19" i="2" s="1"/>
  <c r="AE35" i="1" a="1"/>
  <c r="AE35" i="1" s="1"/>
  <c r="F19" i="2" s="1"/>
  <c r="AF35" i="1" a="1"/>
  <c r="AF35" i="1" s="1"/>
  <c r="G19" i="2" s="1"/>
  <c r="AG35" i="1" a="1"/>
  <c r="AG35" i="1" s="1"/>
  <c r="H19" i="2" s="1"/>
  <c r="AH35" i="1" a="1"/>
  <c r="AH35" i="1" s="1"/>
  <c r="I19" i="2" s="1"/>
  <c r="F222" i="2" l="1"/>
  <c r="E8" i="3" a="1"/>
  <c r="E8" i="3" s="1"/>
  <c r="H148" i="2"/>
  <c r="E151" i="2"/>
  <c r="E121" i="3" a="1"/>
  <c r="E121" i="3" s="1"/>
  <c r="E45" i="3" a="1"/>
  <c r="E45" i="3" s="1"/>
  <c r="F9" i="2"/>
  <c r="E9" i="3" a="1"/>
  <c r="E9" i="3" s="1"/>
  <c r="E77" i="2"/>
  <c r="F216" i="2"/>
  <c r="G77" i="2"/>
  <c r="H216" i="2"/>
  <c r="E122" i="3" a="1"/>
  <c r="E122" i="3" s="1"/>
  <c r="I154" i="2"/>
  <c r="H154" i="2"/>
  <c r="G154" i="2"/>
  <c r="F154" i="2"/>
  <c r="E85" i="3" a="1"/>
  <c r="E85" i="3" s="1"/>
  <c r="H219" i="2"/>
  <c r="F219" i="2"/>
  <c r="E219" i="2"/>
  <c r="I219" i="2"/>
  <c r="G15" i="2"/>
  <c r="H15" i="2"/>
  <c r="I15" i="2"/>
  <c r="E154" i="2"/>
  <c r="E216" i="2"/>
  <c r="E120" i="3" a="1"/>
  <c r="E120" i="3" s="1"/>
  <c r="E83" i="3" a="1"/>
  <c r="E83" i="3" s="1"/>
  <c r="E123" i="3" a="1"/>
  <c r="E123" i="3" s="1"/>
  <c r="F80" i="2"/>
  <c r="H12" i="2"/>
  <c r="I12" i="2"/>
  <c r="E12" i="2"/>
  <c r="E44" i="3" a="1"/>
  <c r="E44" i="3" s="1"/>
  <c r="G12" i="2"/>
  <c r="F12" i="2"/>
  <c r="E80" i="2"/>
  <c r="H80" i="2"/>
  <c r="H222" i="2"/>
  <c r="G219" i="2"/>
  <c r="E7" i="3" a="1"/>
  <c r="E7" i="3" s="1"/>
  <c r="G222" i="2"/>
  <c r="G213" i="2"/>
  <c r="P213" i="2" s="1"/>
  <c r="G80" i="2"/>
  <c r="I9" i="2"/>
  <c r="E83" i="2"/>
  <c r="I222" i="2"/>
  <c r="H9" i="2"/>
  <c r="E18" i="2"/>
  <c r="G83" i="2"/>
  <c r="I80" i="2"/>
  <c r="G9" i="2"/>
  <c r="F18" i="2"/>
  <c r="H83" i="2"/>
  <c r="I83" i="2"/>
  <c r="E46" i="3" a="1"/>
  <c r="E46" i="3" s="1"/>
  <c r="E9" i="2"/>
  <c r="G18" i="2"/>
  <c r="H18" i="2"/>
  <c r="I18" i="2"/>
  <c r="G86" i="2"/>
  <c r="E15" i="2"/>
  <c r="H86" i="2"/>
  <c r="G151" i="2"/>
  <c r="E47" i="3" a="1"/>
  <c r="E47" i="3" s="1"/>
  <c r="E82" i="3" a="1"/>
  <c r="E82" i="3" s="1"/>
  <c r="E6" i="3" a="1"/>
  <c r="E6" i="3" s="1"/>
  <c r="F151" i="2"/>
  <c r="E86" i="2"/>
  <c r="I86" i="2"/>
  <c r="F86" i="2"/>
  <c r="F15" i="2"/>
  <c r="F83" i="2"/>
  <c r="H151" i="2"/>
  <c r="I151" i="2"/>
  <c r="I216" i="2"/>
  <c r="E222" i="2"/>
  <c r="E84" i="3" a="1"/>
  <c r="E84" i="3" s="1"/>
  <c r="I213" i="2"/>
  <c r="F213" i="2"/>
  <c r="H213" i="2"/>
  <c r="E213" i="2"/>
  <c r="I148" i="2"/>
  <c r="F148" i="2"/>
  <c r="G148" i="2"/>
  <c r="E148" i="2"/>
  <c r="H145" i="2"/>
  <c r="E145" i="2"/>
  <c r="G145" i="2"/>
  <c r="I145" i="2"/>
  <c r="F145" i="2"/>
  <c r="H77" i="2"/>
  <c r="I77" i="2"/>
  <c r="F77" i="2"/>
  <c r="N145" i="2" l="1"/>
  <c r="O9" i="2"/>
  <c r="N77" i="2"/>
  <c r="Q77" i="2"/>
  <c r="P145" i="2"/>
  <c r="O213" i="2"/>
  <c r="R77" i="2"/>
  <c r="P77" i="2"/>
  <c r="Q145" i="2"/>
  <c r="P9" i="2"/>
  <c r="N213" i="2"/>
  <c r="O77" i="2"/>
  <c r="Q9" i="2"/>
  <c r="N9" i="2"/>
  <c r="Q213" i="2"/>
  <c r="R213" i="2"/>
  <c r="R9" i="2"/>
  <c r="O145" i="2"/>
  <c r="R14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<sst xmlns="http://schemas.openxmlformats.org/spreadsheetml/2006/main" count="444" uniqueCount="64">
  <si>
    <t>MATRIZ 600 X 600</t>
  </si>
  <si>
    <t>1 hilo</t>
  </si>
  <si>
    <t>2 hilos</t>
  </si>
  <si>
    <t>4 hilos</t>
  </si>
  <si>
    <t>8 hilos</t>
  </si>
  <si>
    <t>12 hilos</t>
  </si>
  <si>
    <t>32 hilos</t>
  </si>
  <si>
    <t>MATRIZ 1200 x 1200</t>
  </si>
  <si>
    <t>MATRIZ 2400 x 2400</t>
  </si>
  <si>
    <t>MATRIZ 4800 x 4800</t>
  </si>
  <si>
    <t>Repetición #1</t>
  </si>
  <si>
    <t>Repetición #2</t>
  </si>
  <si>
    <t>Repetición #3</t>
  </si>
  <si>
    <t>Repetición #4</t>
  </si>
  <si>
    <t>Repetición #5</t>
  </si>
  <si>
    <t>Repetición #6</t>
  </si>
  <si>
    <t>Repetición #7</t>
  </si>
  <si>
    <t>Repetición #8</t>
  </si>
  <si>
    <t>Repetición #9</t>
  </si>
  <si>
    <t>Repetición #10</t>
  </si>
  <si>
    <t>Repetición #11</t>
  </si>
  <si>
    <t>Repetición #12</t>
  </si>
  <si>
    <t>Repetición #13</t>
  </si>
  <si>
    <t>Repetición #14</t>
  </si>
  <si>
    <t>Repetición #15</t>
  </si>
  <si>
    <t>Repetición #16</t>
  </si>
  <si>
    <t>Repetición #17</t>
  </si>
  <si>
    <t>Repetición #18</t>
  </si>
  <si>
    <t>Repetición #19</t>
  </si>
  <si>
    <t>Repetición #20</t>
  </si>
  <si>
    <t>Repetición #21</t>
  </si>
  <si>
    <t>Repetición #22</t>
  </si>
  <si>
    <t>Repetición #23</t>
  </si>
  <si>
    <t>Repetición #24</t>
  </si>
  <si>
    <t>Repetición #25</t>
  </si>
  <si>
    <t>Repetición #26</t>
  </si>
  <si>
    <t>Repetición #27</t>
  </si>
  <si>
    <t>Repetición #28</t>
  </si>
  <si>
    <t>Repetición #29</t>
  </si>
  <si>
    <t>Repetición #30</t>
  </si>
  <si>
    <t>CLÁSICA FORK (tiempos en microsegundos)</t>
  </si>
  <si>
    <t>CLÁSICA OPENMP (tiempos en microsegundos)</t>
  </si>
  <si>
    <t>CLÁSICA POSIX (tiempos en microsegundos)</t>
  </si>
  <si>
    <t>FILAS OPENMP (tiempos en microsegundos)</t>
  </si>
  <si>
    <t>PROMEDIO</t>
  </si>
  <si>
    <t># Hilos</t>
  </si>
  <si>
    <t>Promedio Matrices 600 x 600</t>
  </si>
  <si>
    <t>Promedio Matrices 1200 x 1200</t>
  </si>
  <si>
    <t>Promedio Matrices 2400 x 2400</t>
  </si>
  <si>
    <t>Promedio Matrices 4800 x 4800</t>
  </si>
  <si>
    <t>SpeedUp Matrices 600 x 600</t>
  </si>
  <si>
    <t>SpeedUp Matrices 1200 x 1200</t>
  </si>
  <si>
    <t>SpeedUp Matrices 2400 x 2400</t>
  </si>
  <si>
    <t>SpeedUp Matrices 4800 x 4800</t>
  </si>
  <si>
    <t>Speed Up Promedio</t>
  </si>
  <si>
    <t>MATRICES 600 X 600</t>
  </si>
  <si>
    <t>Clásica OpenMP</t>
  </si>
  <si>
    <t>Clásica POSIX</t>
  </si>
  <si>
    <t>Filas OpenMP</t>
  </si>
  <si>
    <t>Clásica Fork</t>
  </si>
  <si>
    <t>Algoritmo</t>
  </si>
  <si>
    <t>MATRICES 1200 X 1200</t>
  </si>
  <si>
    <t>MATRICES 2400 X 2400</t>
  </si>
  <si>
    <t>MATRICES 4800 X 4800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</si>
</sst>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/>
      <diagonal/>
    </border>
    <border>
      <left/>
      <right/>
      <top style="medium">
        <color theme="1" tint="4.9989318521683403E-2"/>
      </top>
      <bottom/>
      <diagonal/>
    </border>
    <border>
      <left/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/>
      <top/>
      <bottom/>
      <diagonal/>
    </border>
    <border>
      <left/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/>
      <top/>
      <bottom style="medium">
        <color theme="1" tint="4.9989318521683403E-2"/>
      </bottom>
      <diagonal/>
    </border>
    <border>
      <left/>
      <right/>
      <top/>
      <bottom style="medium">
        <color theme="1" tint="4.9989318521683403E-2"/>
      </bottom>
      <diagonal/>
    </border>
    <border>
      <left/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medium">
        <color rgb="FFC00000"/>
      </right>
      <top style="thin">
        <color theme="1" tint="4.9989318521683403E-2"/>
      </top>
      <bottom style="thin">
        <color theme="1" tint="4.9989318521683403E-2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0" borderId="0" xfId="0" applyFont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5" fillId="2" borderId="0" xfId="0" applyFont="1" applyFill="1"/>
    <xf numFmtId="0" fontId="0" fillId="2" borderId="0" xfId="0" applyFill="1"/>
    <xf numFmtId="0" fontId="0" fillId="2" borderId="20" xfId="0" applyFill="1" applyBorder="1"/>
    <xf numFmtId="0" fontId="4" fillId="2" borderId="0" xfId="0" applyFont="1" applyFill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0" xfId="0" applyFill="1" applyAlignment="1">
      <alignment textRotation="45"/>
    </xf>
    <xf numFmtId="0" fontId="1" fillId="2" borderId="0" xfId="0" applyFont="1" applyFill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3" fillId="3" borderId="4" xfId="0" applyFont="1" applyFill="1" applyBorder="1"/>
    <xf numFmtId="0" fontId="3" fillId="3" borderId="0" xfId="0" applyFont="1" applyFill="1"/>
    <xf numFmtId="0" fontId="0" fillId="3" borderId="0" xfId="0" applyFill="1"/>
    <xf numFmtId="0" fontId="0" fillId="3" borderId="5" xfId="0" applyFill="1" applyBorder="1"/>
    <xf numFmtId="0" fontId="0" fillId="3" borderId="4" xfId="0" applyFill="1" applyBorder="1"/>
    <xf numFmtId="0" fontId="0" fillId="3" borderId="12" xfId="0" applyFill="1" applyBorder="1"/>
    <xf numFmtId="0" fontId="0" fillId="3" borderId="13" xfId="0" applyFill="1" applyBorder="1"/>
    <xf numFmtId="0" fontId="3" fillId="3" borderId="14" xfId="0" applyFont="1" applyFill="1" applyBorder="1"/>
    <xf numFmtId="0" fontId="3" fillId="3" borderId="15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6" fillId="3" borderId="4" xfId="0" applyFont="1" applyFill="1" applyBorder="1"/>
    <xf numFmtId="0" fontId="6" fillId="3" borderId="6" xfId="0" applyFont="1" applyFill="1" applyBorder="1"/>
    <xf numFmtId="0" fontId="6" fillId="0" borderId="0" xfId="0" applyFont="1"/>
    <xf numFmtId="0" fontId="5" fillId="3" borderId="1" xfId="0" applyFont="1" applyFill="1" applyBorder="1"/>
    <xf numFmtId="0" fontId="4" fillId="3" borderId="4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7" fillId="3" borderId="14" xfId="0" applyFont="1" applyFill="1" applyBorder="1"/>
    <xf numFmtId="0" fontId="4" fillId="3" borderId="7" xfId="0" applyFont="1" applyFill="1" applyBorder="1"/>
    <xf numFmtId="0" fontId="7" fillId="3" borderId="2" xfId="0" applyFont="1" applyFill="1" applyBorder="1"/>
    <xf numFmtId="0" fontId="7" fillId="3" borderId="0" xfId="0" applyFont="1" applyFill="1"/>
    <xf numFmtId="0" fontId="0" fillId="3" borderId="24" xfId="0" applyFill="1" applyBorder="1"/>
    <xf numFmtId="0" fontId="4" fillId="3" borderId="0" xfId="0" applyFont="1" applyFill="1"/>
    <xf numFmtId="0" fontId="0" fillId="3" borderId="25" xfId="0" applyFill="1" applyBorder="1"/>
    <xf numFmtId="0" fontId="4" fillId="3" borderId="9" xfId="0" applyFont="1" applyFill="1" applyBorder="1" applyAlignment="1">
      <alignment horizontal="right"/>
    </xf>
    <xf numFmtId="0" fontId="8" fillId="2" borderId="0" xfId="0" applyFont="1" applyFill="1"/>
    <xf numFmtId="0" fontId="4" fillId="3" borderId="10" xfId="0" applyFont="1" applyFill="1" applyBorder="1" applyAlignment="1">
      <alignment horizontal="right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 vertical="center" textRotation="45"/>
    </xf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600 x 600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SpeedUp'!$C$9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SpeedUp'!$D$8:$I$8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SpeedUp'!$D$9:$I$9</c:f>
              <c:numCache>
                <c:formatCode>General</c:formatCode>
                <c:ptCount val="6"/>
                <c:pt idx="0">
                  <c:v>1</c:v>
                </c:pt>
                <c:pt idx="1">
                  <c:v>2.1605535012283266</c:v>
                </c:pt>
                <c:pt idx="2">
                  <c:v>4.290778858819472</c:v>
                </c:pt>
                <c:pt idx="3">
                  <c:v>5.3598223239128284</c:v>
                </c:pt>
                <c:pt idx="4">
                  <c:v>7.1250621931413871</c:v>
                </c:pt>
                <c:pt idx="5">
                  <c:v>6.6326115072706937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32-4E56-B12B-718382CB67B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1200 x 1200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SpeedUp'!$C$12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SpeedUp'!$D$11:$I$11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SpeedUp'!$D$12:$I$12</c:f>
              <c:numCache>
                <c:formatCode>General</c:formatCode>
                <c:ptCount val="6"/>
                <c:pt idx="0">
                  <c:v>1</c:v>
                </c:pt>
                <c:pt idx="1">
                  <c:v>3.0258266851348017</c:v>
                </c:pt>
                <c:pt idx="2">
                  <c:v>4.9240587748535782</c:v>
                </c:pt>
                <c:pt idx="3">
                  <c:v>8.7419483244827418</c:v>
                </c:pt>
                <c:pt idx="4">
                  <c:v>10.898234301629541</c:v>
                </c:pt>
                <c:pt idx="5">
                  <c:v>12.188590595878781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AB-4E5A-8B97-278A9D71801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2400 x 2400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SpeedUp'!$D$14:$I$14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SpeedUp'!$D$15:$I$15</c:f>
              <c:numCache>
                <c:formatCode>General</c:formatCode>
                <c:ptCount val="6"/>
                <c:pt idx="0">
                  <c:v>1</c:v>
                </c:pt>
                <c:pt idx="1">
                  <c:v>2.6492480806464886</c:v>
                </c:pt>
                <c:pt idx="2">
                  <c:v>4.4045923804306328</c:v>
                </c:pt>
                <c:pt idx="3">
                  <c:v>4.2380882621268441</c:v>
                </c:pt>
                <c:pt idx="4">
                  <c:v>4.3777856894288742</c:v>
                </c:pt>
                <c:pt idx="5">
                  <c:v>3.9501391948829281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C5-40FE-8793-FF53A49F68A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4800 x 4800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SpeedUp'!$C$18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SpeedUp'!$D$17:$I$17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SpeedUp'!$D$18:$I$18</c:f>
              <c:numCache>
                <c:formatCode>General</c:formatCode>
                <c:ptCount val="6"/>
                <c:pt idx="0">
                  <c:v>1</c:v>
                </c:pt>
                <c:pt idx="1">
                  <c:v>2.3244176572319621</c:v>
                </c:pt>
                <c:pt idx="2">
                  <c:v>4.3581732721418929</c:v>
                </c:pt>
                <c:pt idx="3">
                  <c:v>2.5971644420323936</c:v>
                </c:pt>
                <c:pt idx="4">
                  <c:v>1.8665009163725876</c:v>
                </c:pt>
                <c:pt idx="5">
                  <c:v>1.3416191868563825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5E-4F08-96FF-56B6774F016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SpeedUpp</a:t>
            </a:r>
            <a:r>
              <a:rPr lang="en-US" baseline="0"/>
              <a:t> Promedio</a:t>
            </a:r>
            <a:r>
              <a:rPr lang="en-US"/>
              <a:t> vs</a:t>
            </a:r>
            <a:r>
              <a:rPr lang="en-US" baseline="0"/>
              <a:t> Número de Hilos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SpeedUp'!$K$9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SpeedUp'!$L$8:$R$8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SpeedUp'!$L$9:$R$9</c:f>
              <c:numCache>
                <c:formatCode>General</c:formatCode>
                <c:ptCount val="7"/>
                <c:pt idx="1">
                  <c:v>1</c:v>
                </c:pt>
                <c:pt idx="2">
                  <c:v>2.5400114810603949</c:v>
                </c:pt>
                <c:pt idx="3">
                  <c:v>4.4944008215613938</c:v>
                </c:pt>
                <c:pt idx="4">
                  <c:v>5.2342558381387025</c:v>
                </c:pt>
                <c:pt idx="5">
                  <c:v>6.066895775143097</c:v>
                </c:pt>
                <c:pt idx="6">
                  <c:v>6.028240121222197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42-4DD0-8A09-0B45463C5FF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600 x 600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SpeedUp'!$C$77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SpeedUp'!$D$76:$I$76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SpeedUp'!$D$77:$I$77</c:f>
              <c:numCache>
                <c:formatCode>General</c:formatCode>
                <c:ptCount val="6"/>
                <c:pt idx="0">
                  <c:v>1</c:v>
                </c:pt>
                <c:pt idx="1">
                  <c:v>2.2092129365484521</c:v>
                </c:pt>
                <c:pt idx="2">
                  <c:v>4.2105996146288414</c:v>
                </c:pt>
                <c:pt idx="3">
                  <c:v>3.8838404279655796</c:v>
                </c:pt>
                <c:pt idx="4">
                  <c:v>4.3573205401563611</c:v>
                </c:pt>
                <c:pt idx="5">
                  <c:v>3.8679132857818828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40-4D75-9A6A-C379E8DEB34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1200 x 1200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SpeedUp'!$C$80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SpeedUp'!$D$79:$I$79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SpeedUp'!$D$80:$I$80</c:f>
              <c:numCache>
                <c:formatCode>General</c:formatCode>
                <c:ptCount val="6"/>
                <c:pt idx="0">
                  <c:v>1</c:v>
                </c:pt>
                <c:pt idx="1">
                  <c:v>3.2769661650355277</c:v>
                </c:pt>
                <c:pt idx="2">
                  <c:v>5.3776409600616022</c:v>
                </c:pt>
                <c:pt idx="3">
                  <c:v>8.3389260403367889</c:v>
                </c:pt>
                <c:pt idx="4">
                  <c:v>7.5758691077797771</c:v>
                </c:pt>
                <c:pt idx="5">
                  <c:v>7.7457392974916077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E6-47C6-B59A-19AE844D260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2400 x 2400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SpeedUp'!$C$83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SpeedUp'!$D$82:$I$82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SpeedUp'!$D$83:$I$83</c:f>
              <c:numCache>
                <c:formatCode>General</c:formatCode>
                <c:ptCount val="6"/>
                <c:pt idx="0">
                  <c:v>1</c:v>
                </c:pt>
                <c:pt idx="1">
                  <c:v>2.1698463499338589</c:v>
                </c:pt>
                <c:pt idx="2">
                  <c:v>3.9222105490040695</c:v>
                </c:pt>
                <c:pt idx="3">
                  <c:v>4.1115850368137012</c:v>
                </c:pt>
                <c:pt idx="4">
                  <c:v>4.3826038603545303</c:v>
                </c:pt>
                <c:pt idx="5">
                  <c:v>4.025781166328537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AB-4223-8B36-EC2F6F367BB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4800 x 4800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SpeedUp'!$C$86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SpeedUp'!$D$85:$I$85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SpeedUp'!$D$86:$I$86</c:f>
              <c:numCache>
                <c:formatCode>General</c:formatCode>
                <c:ptCount val="6"/>
                <c:pt idx="0">
                  <c:v>1</c:v>
                </c:pt>
                <c:pt idx="1">
                  <c:v>2.1175773271077185</c:v>
                </c:pt>
                <c:pt idx="2">
                  <c:v>4.0378688353951455</c:v>
                </c:pt>
                <c:pt idx="3">
                  <c:v>3.4270618875039665</c:v>
                </c:pt>
                <c:pt idx="4">
                  <c:v>2.8709926721661465</c:v>
                </c:pt>
                <c:pt idx="5">
                  <c:v>2.6058553584398072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4D-4D41-AE8B-1F91F9DCA07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SpeedUpp</a:t>
            </a:r>
            <a:r>
              <a:rPr lang="en-US" baseline="0"/>
              <a:t> Promedio</a:t>
            </a:r>
            <a:r>
              <a:rPr lang="en-US"/>
              <a:t> vs</a:t>
            </a:r>
            <a:r>
              <a:rPr lang="en-US" baseline="0"/>
              <a:t> Número de Hilos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SpeedUp'!$K$77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SpeedUp'!$L$76:$R$76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SpeedUp'!$L$77:$R$77</c:f>
              <c:numCache>
                <c:formatCode>General</c:formatCode>
                <c:ptCount val="7"/>
                <c:pt idx="1">
                  <c:v>1</c:v>
                </c:pt>
                <c:pt idx="2">
                  <c:v>2.4434006946563898</c:v>
                </c:pt>
                <c:pt idx="3">
                  <c:v>4.3870799897724142</c:v>
                </c:pt>
                <c:pt idx="4">
                  <c:v>4.9403533481550088</c:v>
                </c:pt>
                <c:pt idx="5">
                  <c:v>4.7966965451142034</c:v>
                </c:pt>
                <c:pt idx="6">
                  <c:v>4.5613222770104587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1A-40BC-A714-CC3B59A4EFE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600 x 600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SpeedUp'!$C$145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SpeedUp'!$D$144:$I$144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SpeedUp'!$D$145:$I$145</c:f>
              <c:numCache>
                <c:formatCode>General</c:formatCode>
                <c:ptCount val="6"/>
                <c:pt idx="0">
                  <c:v>1</c:v>
                </c:pt>
                <c:pt idx="1">
                  <c:v>2.1531659791250353</c:v>
                </c:pt>
                <c:pt idx="2">
                  <c:v>4.2730439518668337</c:v>
                </c:pt>
                <c:pt idx="3">
                  <c:v>5.4252486908166278</c:v>
                </c:pt>
                <c:pt idx="4">
                  <c:v>7.0384550687799043</c:v>
                </c:pt>
                <c:pt idx="5">
                  <c:v>7.1708717343285855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D-434B-9FAA-2DF724F4187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1200 x 1200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95287520878073"/>
          <c:y val="0.14209099346951093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SpeedUp'!$C$148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SpeedUp'!$D$147:$I$147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SpeedUp'!$D$148:$I$148</c:f>
              <c:numCache>
                <c:formatCode>General</c:formatCode>
                <c:ptCount val="6"/>
                <c:pt idx="0">
                  <c:v>1</c:v>
                </c:pt>
                <c:pt idx="1">
                  <c:v>3.0112902238737145</c:v>
                </c:pt>
                <c:pt idx="2">
                  <c:v>5.1016619596550203</c:v>
                </c:pt>
                <c:pt idx="3">
                  <c:v>8.7182976100459424</c:v>
                </c:pt>
                <c:pt idx="4">
                  <c:v>11.078075726034173</c:v>
                </c:pt>
                <c:pt idx="5">
                  <c:v>12.937943127804123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D3-4E40-8FD2-C09BA09CF45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2400 x 2400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SpeedUp'!$C$151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SpeedUp'!$D$150:$I$150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SpeedUp'!$D$151:$I$151</c:f>
              <c:numCache>
                <c:formatCode>General</c:formatCode>
                <c:ptCount val="6"/>
                <c:pt idx="0">
                  <c:v>1</c:v>
                </c:pt>
                <c:pt idx="1">
                  <c:v>2.6543098237878935</c:v>
                </c:pt>
                <c:pt idx="2">
                  <c:v>4.3840760649686263</c:v>
                </c:pt>
                <c:pt idx="3">
                  <c:v>4.4239870459111446</c:v>
                </c:pt>
                <c:pt idx="4">
                  <c:v>4.5293258581494502</c:v>
                </c:pt>
                <c:pt idx="5">
                  <c:v>4.413504222032361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D8-48CE-8A65-64A7E9A7FD6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4800 x 4800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SpeedUp'!$C$154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SpeedUp'!$D$153:$I$153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SpeedUp'!$D$154:$I$154</c:f>
              <c:numCache>
                <c:formatCode>General</c:formatCode>
                <c:ptCount val="6"/>
                <c:pt idx="0">
                  <c:v>1</c:v>
                </c:pt>
                <c:pt idx="1">
                  <c:v>2.3270311787982161</c:v>
                </c:pt>
                <c:pt idx="2">
                  <c:v>4.3559918229175105</c:v>
                </c:pt>
                <c:pt idx="3">
                  <c:v>2.7431335938626131</c:v>
                </c:pt>
                <c:pt idx="4">
                  <c:v>2.1222176216276321</c:v>
                </c:pt>
                <c:pt idx="5">
                  <c:v>1.5331556756298386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AC-4502-A19C-A19B8D577BE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SpeedUpp</a:t>
            </a:r>
            <a:r>
              <a:rPr lang="en-US" baseline="0"/>
              <a:t> Promedio</a:t>
            </a:r>
            <a:r>
              <a:rPr lang="en-US"/>
              <a:t> vs</a:t>
            </a:r>
            <a:r>
              <a:rPr lang="en-US" baseline="0"/>
              <a:t> Número de Hilos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86196611787165"/>
          <c:y val="0.13654228927165551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SpeedUp'!$K$145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SpeedUp'!$L$144:$R$144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SpeedUp'!$L$145:$R$145</c:f>
              <c:numCache>
                <c:formatCode>General</c:formatCode>
                <c:ptCount val="7"/>
                <c:pt idx="1">
                  <c:v>1</c:v>
                </c:pt>
                <c:pt idx="2">
                  <c:v>2.5364493013962148</c:v>
                </c:pt>
                <c:pt idx="3">
                  <c:v>4.528693449851998</c:v>
                </c:pt>
                <c:pt idx="4">
                  <c:v>5.3276667351590818</c:v>
                </c:pt>
                <c:pt idx="5">
                  <c:v>6.1920185686477911</c:v>
                </c:pt>
                <c:pt idx="6">
                  <c:v>6.5138686899487279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A1-4FBC-A264-295997FC47B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600 x 600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SpeedUp'!$C$213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SpeedUp'!$D$212:$I$212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SpeedUp'!$D$213:$I$213</c:f>
              <c:numCache>
                <c:formatCode>General</c:formatCode>
                <c:ptCount val="6"/>
                <c:pt idx="0">
                  <c:v>1</c:v>
                </c:pt>
                <c:pt idx="1">
                  <c:v>2.166972962086501</c:v>
                </c:pt>
                <c:pt idx="2">
                  <c:v>4.2428342575477513</c:v>
                </c:pt>
                <c:pt idx="3">
                  <c:v>4.2317789631523315</c:v>
                </c:pt>
                <c:pt idx="4">
                  <c:v>5.4851999362752908</c:v>
                </c:pt>
                <c:pt idx="5">
                  <c:v>5.6562294651071099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85-44F4-81B6-2A85E661010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1200 x 1200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SpeedUp'!$C$216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SpeedUp'!$D$215:$I$215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SpeedUp'!$D$216:$I$216</c:f>
              <c:numCache>
                <c:formatCode>General</c:formatCode>
                <c:ptCount val="6"/>
                <c:pt idx="0">
                  <c:v>1</c:v>
                </c:pt>
                <c:pt idx="1">
                  <c:v>2.9545990004156488</c:v>
                </c:pt>
                <c:pt idx="2">
                  <c:v>5.3244727495944231</c:v>
                </c:pt>
                <c:pt idx="3">
                  <c:v>9.3115075688351858</c:v>
                </c:pt>
                <c:pt idx="4">
                  <c:v>10.69835548050804</c:v>
                </c:pt>
                <c:pt idx="5">
                  <c:v>15.366525714165199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58-48B8-BDCA-8502905A148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2400 x 2400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SpeedUp'!$C$219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SpeedUp'!$D$218:$I$218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SpeedUp'!$D$219:$I$219</c:f>
              <c:numCache>
                <c:formatCode>General</c:formatCode>
                <c:ptCount val="6"/>
                <c:pt idx="0">
                  <c:v>1</c:v>
                </c:pt>
                <c:pt idx="1">
                  <c:v>1.6924345227293531</c:v>
                </c:pt>
                <c:pt idx="2">
                  <c:v>3.3228755330164348</c:v>
                </c:pt>
                <c:pt idx="3">
                  <c:v>4.8462127420062409</c:v>
                </c:pt>
                <c:pt idx="4">
                  <c:v>6.3990439145947233</c:v>
                </c:pt>
                <c:pt idx="5">
                  <c:v>3.3431405235527687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0A-47B3-A292-5527120C73A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4800 x 4800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SpeedUp'!$C$222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SpeedUp'!$D$221:$I$221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SpeedUp'!$D$222:$I$222</c:f>
              <c:numCache>
                <c:formatCode>General</c:formatCode>
                <c:ptCount val="6"/>
                <c:pt idx="0">
                  <c:v>1</c:v>
                </c:pt>
                <c:pt idx="1">
                  <c:v>1.6523406666122986</c:v>
                </c:pt>
                <c:pt idx="2">
                  <c:v>3.2073716091843321</c:v>
                </c:pt>
                <c:pt idx="3">
                  <c:v>4.0529383197600239</c:v>
                </c:pt>
                <c:pt idx="4">
                  <c:v>5.0790999829171284</c:v>
                </c:pt>
                <c:pt idx="5">
                  <c:v>2.882797267059384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32-4B2B-9E58-2850204B01D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SpeedUpp</a:t>
            </a:r>
            <a:r>
              <a:rPr lang="en-US" baseline="0"/>
              <a:t> Promedio</a:t>
            </a:r>
            <a:r>
              <a:rPr lang="en-US"/>
              <a:t> vs</a:t>
            </a:r>
            <a:r>
              <a:rPr lang="en-US" baseline="0"/>
              <a:t> Número de Hilos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SpeedUp'!$K$213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SpeedUp'!$L$212:$R$212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SpeedUp'!$L$213:$R$213</c:f>
              <c:numCache>
                <c:formatCode>General</c:formatCode>
                <c:ptCount val="7"/>
                <c:pt idx="1">
                  <c:v>1</c:v>
                </c:pt>
                <c:pt idx="2">
                  <c:v>2.1165867879609506</c:v>
                </c:pt>
                <c:pt idx="3">
                  <c:v>4.0243885373357351</c:v>
                </c:pt>
                <c:pt idx="4">
                  <c:v>5.6106093984384451</c:v>
                </c:pt>
                <c:pt idx="5">
                  <c:v>6.915424828573796</c:v>
                </c:pt>
                <c:pt idx="6">
                  <c:v>6.8121732424711157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C9-47CC-9036-EC0C2FB94B2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Tiempo promedio de Ejecución VS </a:t>
            </a:r>
            <a:r>
              <a:rPr lang="en-US" baseline="0"/>
              <a:t>Número de Hilos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para m</a:t>
            </a:r>
            <a:r>
              <a:rPr lang="en-US" baseline="0"/>
              <a:t>atrices de 600 x 600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499274472079456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Tiempos'!$D$6</c:f>
              <c:strCache>
                <c:ptCount val="1"/>
                <c:pt idx="0">
                  <c:v>Clásica Fork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Tiempos'!$E$6:$J$6</c:f>
              <c:numCache>
                <c:formatCode>General</c:formatCode>
                <c:ptCount val="6"/>
                <c:pt idx="0">
                  <c:v>758983</c:v>
                </c:pt>
                <c:pt idx="1">
                  <c:v>351291</c:v>
                </c:pt>
                <c:pt idx="2">
                  <c:v>176887</c:v>
                </c:pt>
                <c:pt idx="3">
                  <c:v>141606</c:v>
                </c:pt>
                <c:pt idx="4">
                  <c:v>106523</c:v>
                </c:pt>
                <c:pt idx="5">
                  <c:v>114432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7-4E63-A010-A3B062458423}"/>
            </c:ext>
          </c:extLst>
        </c:ser>
        <c:ser>
          <c:idx val="1"/>
          <c:order val="1"/>
          <c:tx>
            <c:strRef>
              <c:f>'Gráficas Tiempos'!$D$7</c:f>
              <c:strCache>
                <c:ptCount val="1"/>
                <c:pt idx="0">
                  <c:v>Clásica OpenMP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Tiempos'!$E$7:$J$7</c:f>
              <c:numCache>
                <c:formatCode>General</c:formatCode>
                <c:ptCount val="6"/>
                <c:pt idx="0">
                  <c:v>220707</c:v>
                </c:pt>
                <c:pt idx="1">
                  <c:v>99903</c:v>
                </c:pt>
                <c:pt idx="2">
                  <c:v>52417</c:v>
                </c:pt>
                <c:pt idx="3">
                  <c:v>56827</c:v>
                </c:pt>
                <c:pt idx="4">
                  <c:v>50652</c:v>
                </c:pt>
                <c:pt idx="5">
                  <c:v>57061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37-4E63-A010-A3B062458423}"/>
            </c:ext>
          </c:extLst>
        </c:ser>
        <c:ser>
          <c:idx val="2"/>
          <c:order val="2"/>
          <c:tx>
            <c:strRef>
              <c:f>'Gráficas Tiempos'!$D$8</c:f>
              <c:strCache>
                <c:ptCount val="1"/>
                <c:pt idx="0">
                  <c:v>Clásica POSIX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Tiempos'!$E$8:$J$8</c:f>
              <c:numCache>
                <c:formatCode>General</c:formatCode>
                <c:ptCount val="6"/>
                <c:pt idx="0">
                  <c:v>753171</c:v>
                </c:pt>
                <c:pt idx="1">
                  <c:v>349797</c:v>
                </c:pt>
                <c:pt idx="2">
                  <c:v>176261</c:v>
                </c:pt>
                <c:pt idx="3">
                  <c:v>138827</c:v>
                </c:pt>
                <c:pt idx="4">
                  <c:v>107008</c:v>
                </c:pt>
                <c:pt idx="5">
                  <c:v>105032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37-4E63-A010-A3B062458423}"/>
            </c:ext>
          </c:extLst>
        </c:ser>
        <c:ser>
          <c:idx val="3"/>
          <c:order val="3"/>
          <c:tx>
            <c:strRef>
              <c:f>'Gráficas Tiempos'!$D$9</c:f>
              <c:strCache>
                <c:ptCount val="1"/>
                <c:pt idx="0">
                  <c:v>Filas OpenMP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Tiempos'!$E$9:$J$9</c:f>
              <c:numCache>
                <c:formatCode>General</c:formatCode>
                <c:ptCount val="6"/>
                <c:pt idx="0">
                  <c:v>172153</c:v>
                </c:pt>
                <c:pt idx="1">
                  <c:v>79444</c:v>
                </c:pt>
                <c:pt idx="2">
                  <c:v>40575</c:v>
                </c:pt>
                <c:pt idx="3">
                  <c:v>40681</c:v>
                </c:pt>
                <c:pt idx="4">
                  <c:v>31385</c:v>
                </c:pt>
                <c:pt idx="5">
                  <c:v>30436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37-4E63-A010-A3B062458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6943010172723"/>
          <c:y val="0.12677079055874915"/>
          <c:w val="0.12230569898272764"/>
          <c:h val="0.73361667355178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Tiempo promedio de Ejecución VS </a:t>
            </a:r>
            <a:r>
              <a:rPr lang="en-US" baseline="0"/>
              <a:t>Número de Hilos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para m</a:t>
            </a:r>
            <a:r>
              <a:rPr lang="en-US" baseline="0"/>
              <a:t>atrices de 1200 x 1200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499274472079456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Tiempos'!$D$44</c:f>
              <c:strCache>
                <c:ptCount val="1"/>
                <c:pt idx="0">
                  <c:v>Clásica Fork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Tiempos'!$E$44:$J$44</c:f>
              <c:numCache>
                <c:formatCode>General</c:formatCode>
                <c:ptCount val="6"/>
                <c:pt idx="0">
                  <c:v>7027661</c:v>
                </c:pt>
                <c:pt idx="1">
                  <c:v>2322559</c:v>
                </c:pt>
                <c:pt idx="2">
                  <c:v>1427209</c:v>
                </c:pt>
                <c:pt idx="3">
                  <c:v>803901</c:v>
                </c:pt>
                <c:pt idx="4">
                  <c:v>644844</c:v>
                </c:pt>
                <c:pt idx="5">
                  <c:v>576577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3-42C7-8ABD-FDA636732659}"/>
            </c:ext>
          </c:extLst>
        </c:ser>
        <c:ser>
          <c:idx val="1"/>
          <c:order val="1"/>
          <c:tx>
            <c:strRef>
              <c:f>'Gráficas Tiempos'!$D$45</c:f>
              <c:strCache>
                <c:ptCount val="1"/>
                <c:pt idx="0">
                  <c:v>Clásica OpenMP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Tiempos'!$E$45:$J$45</c:f>
              <c:numCache>
                <c:formatCode>General</c:formatCode>
                <c:ptCount val="6"/>
                <c:pt idx="0">
                  <c:v>3128690</c:v>
                </c:pt>
                <c:pt idx="1">
                  <c:v>954752</c:v>
                </c:pt>
                <c:pt idx="2">
                  <c:v>581796</c:v>
                </c:pt>
                <c:pt idx="3">
                  <c:v>375191</c:v>
                </c:pt>
                <c:pt idx="4">
                  <c:v>412981</c:v>
                </c:pt>
                <c:pt idx="5">
                  <c:v>403924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A3-42C7-8ABD-FDA636732659}"/>
            </c:ext>
          </c:extLst>
        </c:ser>
        <c:ser>
          <c:idx val="2"/>
          <c:order val="2"/>
          <c:tx>
            <c:strRef>
              <c:f>'Gráficas Tiempos'!$D$46</c:f>
              <c:strCache>
                <c:ptCount val="1"/>
                <c:pt idx="0">
                  <c:v>Clásica POSIX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Tiempos'!$E$46:$J$46</c:f>
              <c:numCache>
                <c:formatCode>General</c:formatCode>
                <c:ptCount val="6"/>
                <c:pt idx="0">
                  <c:v>6987175</c:v>
                </c:pt>
                <c:pt idx="1">
                  <c:v>2320326</c:v>
                </c:pt>
                <c:pt idx="2">
                  <c:v>1369588</c:v>
                </c:pt>
                <c:pt idx="3">
                  <c:v>801438</c:v>
                </c:pt>
                <c:pt idx="4">
                  <c:v>630721</c:v>
                </c:pt>
                <c:pt idx="5">
                  <c:v>540053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A3-42C7-8ABD-FDA636732659}"/>
            </c:ext>
          </c:extLst>
        </c:ser>
        <c:ser>
          <c:idx val="3"/>
          <c:order val="3"/>
          <c:tx>
            <c:strRef>
              <c:f>'Gráficas Tiempos'!$D$47</c:f>
              <c:strCache>
                <c:ptCount val="1"/>
                <c:pt idx="0">
                  <c:v>Filas OpenMP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Tiempos'!$E$47:$J$47</c:f>
              <c:numCache>
                <c:formatCode>General</c:formatCode>
                <c:ptCount val="6"/>
                <c:pt idx="0">
                  <c:v>1457223</c:v>
                </c:pt>
                <c:pt idx="1">
                  <c:v>493205</c:v>
                </c:pt>
                <c:pt idx="2">
                  <c:v>273684</c:v>
                </c:pt>
                <c:pt idx="3">
                  <c:v>156497</c:v>
                </c:pt>
                <c:pt idx="4">
                  <c:v>136210</c:v>
                </c:pt>
                <c:pt idx="5">
                  <c:v>94831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A3-42C7-8ABD-FDA636732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6943010172723"/>
          <c:y val="0.12677079055874915"/>
          <c:w val="0.12230569898272764"/>
          <c:h val="0.73361667355178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Tiempo promedio de Ejecución VS </a:t>
            </a:r>
            <a:r>
              <a:rPr lang="en-US" baseline="0"/>
              <a:t>Número de Hilos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para</a:t>
            </a:r>
            <a:r>
              <a:rPr lang="en-US" baseline="0"/>
              <a:t> matrices de 2400 x 2400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499274472079456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Tiempos'!$D$82</c:f>
              <c:strCache>
                <c:ptCount val="1"/>
                <c:pt idx="0">
                  <c:v>Clásica Fork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Tiempos'!$E$82:$J$82</c:f>
              <c:numCache>
                <c:formatCode>General</c:formatCode>
                <c:ptCount val="6"/>
                <c:pt idx="0">
                  <c:v>79065283</c:v>
                </c:pt>
                <c:pt idx="1">
                  <c:v>29844424</c:v>
                </c:pt>
                <c:pt idx="2">
                  <c:v>17950647</c:v>
                </c:pt>
                <c:pt idx="3">
                  <c:v>18655884</c:v>
                </c:pt>
                <c:pt idx="4">
                  <c:v>18060565</c:v>
                </c:pt>
                <c:pt idx="5">
                  <c:v>20015822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45-4E02-809F-1823FB8DA9D1}"/>
            </c:ext>
          </c:extLst>
        </c:ser>
        <c:ser>
          <c:idx val="1"/>
          <c:order val="1"/>
          <c:tx>
            <c:strRef>
              <c:f>'Gráficas Tiempos'!$D$83</c:f>
              <c:strCache>
                <c:ptCount val="1"/>
                <c:pt idx="0">
                  <c:v>Clásica OpenMP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Tiempos'!$E$83:$J$83</c:f>
              <c:numCache>
                <c:formatCode>General</c:formatCode>
                <c:ptCount val="6"/>
                <c:pt idx="0">
                  <c:v>79012453</c:v>
                </c:pt>
                <c:pt idx="1">
                  <c:v>36413847</c:v>
                </c:pt>
                <c:pt idx="2">
                  <c:v>20144878</c:v>
                </c:pt>
                <c:pt idx="3">
                  <c:v>19217030</c:v>
                </c:pt>
                <c:pt idx="4">
                  <c:v>18028655</c:v>
                </c:pt>
                <c:pt idx="5">
                  <c:v>19626614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45-4E02-809F-1823FB8DA9D1}"/>
            </c:ext>
          </c:extLst>
        </c:ser>
        <c:ser>
          <c:idx val="2"/>
          <c:order val="2"/>
          <c:tx>
            <c:strRef>
              <c:f>'Gráficas Tiempos'!$D$84</c:f>
              <c:strCache>
                <c:ptCount val="1"/>
                <c:pt idx="0">
                  <c:v>Clásica POSIX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Tiempos'!$E$84:$J$84</c:f>
              <c:numCache>
                <c:formatCode>General</c:formatCode>
                <c:ptCount val="6"/>
                <c:pt idx="0">
                  <c:v>78974150</c:v>
                </c:pt>
                <c:pt idx="1">
                  <c:v>29753177</c:v>
                </c:pt>
                <c:pt idx="2">
                  <c:v>18013864</c:v>
                </c:pt>
                <c:pt idx="3">
                  <c:v>17851352</c:v>
                </c:pt>
                <c:pt idx="4">
                  <c:v>17436182</c:v>
                </c:pt>
                <c:pt idx="5">
                  <c:v>17893752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45-4E02-809F-1823FB8DA9D1}"/>
            </c:ext>
          </c:extLst>
        </c:ser>
        <c:ser>
          <c:idx val="3"/>
          <c:order val="3"/>
          <c:tx>
            <c:strRef>
              <c:f>'Gráficas Tiempos'!$D$85</c:f>
              <c:strCache>
                <c:ptCount val="1"/>
                <c:pt idx="0">
                  <c:v>Filas OpenMP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Tiempos'!$E$85:$J$85</c:f>
              <c:numCache>
                <c:formatCode>General</c:formatCode>
                <c:ptCount val="6"/>
                <c:pt idx="0">
                  <c:v>10538739</c:v>
                </c:pt>
                <c:pt idx="1">
                  <c:v>6226970</c:v>
                </c:pt>
                <c:pt idx="2">
                  <c:v>3171572</c:v>
                </c:pt>
                <c:pt idx="3">
                  <c:v>2174634</c:v>
                </c:pt>
                <c:pt idx="4">
                  <c:v>1646924</c:v>
                </c:pt>
                <c:pt idx="5">
                  <c:v>3152347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45-4E02-809F-1823FB8DA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6943010172723"/>
          <c:y val="0.12677079055874915"/>
          <c:w val="0.12230569898272764"/>
          <c:h val="0.73361667355178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Tiempo promedio de Ejecución VS </a:t>
            </a:r>
            <a:r>
              <a:rPr lang="en-US" baseline="0"/>
              <a:t>Número de Hilos para matrices de 4800 x 4800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499274472079456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Tiempos'!$D$120</c:f>
              <c:strCache>
                <c:ptCount val="1"/>
                <c:pt idx="0">
                  <c:v>Clásica Fork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Tiempos'!$E$120:$J$120</c:f>
              <c:numCache>
                <c:formatCode>General</c:formatCode>
                <c:ptCount val="6"/>
                <c:pt idx="0">
                  <c:v>813397322</c:v>
                </c:pt>
                <c:pt idx="1">
                  <c:v>349935959</c:v>
                </c:pt>
                <c:pt idx="2">
                  <c:v>186637215</c:v>
                </c:pt>
                <c:pt idx="3">
                  <c:v>313186685</c:v>
                </c:pt>
                <c:pt idx="4">
                  <c:v>435787261</c:v>
                </c:pt>
                <c:pt idx="5">
                  <c:v>606280329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5A-4824-A776-656C04E10B8E}"/>
            </c:ext>
          </c:extLst>
        </c:ser>
        <c:ser>
          <c:idx val="1"/>
          <c:order val="1"/>
          <c:tx>
            <c:strRef>
              <c:f>'Gráficas Tiempos'!$D$121</c:f>
              <c:strCache>
                <c:ptCount val="1"/>
                <c:pt idx="0">
                  <c:v>Clásica OpenMP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Tiempos'!$E$121:$J$121</c:f>
              <c:numCache>
                <c:formatCode>General</c:formatCode>
                <c:ptCount val="6"/>
                <c:pt idx="0">
                  <c:v>1001964683</c:v>
                </c:pt>
                <c:pt idx="1">
                  <c:v>473165570</c:v>
                </c:pt>
                <c:pt idx="2">
                  <c:v>248141959</c:v>
                </c:pt>
                <c:pt idx="3">
                  <c:v>292368424</c:v>
                </c:pt>
                <c:pt idx="4">
                  <c:v>348995904</c:v>
                </c:pt>
                <c:pt idx="5">
                  <c:v>384505103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5A-4824-A776-656C04E10B8E}"/>
            </c:ext>
          </c:extLst>
        </c:ser>
        <c:ser>
          <c:idx val="2"/>
          <c:order val="2"/>
          <c:tx>
            <c:strRef>
              <c:f>'Gráficas Tiempos'!$D$122</c:f>
              <c:strCache>
                <c:ptCount val="1"/>
                <c:pt idx="0">
                  <c:v>Clásica POSIX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Tiempos'!$E$122:$J$122</c:f>
              <c:numCache>
                <c:formatCode>General</c:formatCode>
                <c:ptCount val="6"/>
                <c:pt idx="0">
                  <c:v>812694049</c:v>
                </c:pt>
                <c:pt idx="1">
                  <c:v>349240722</c:v>
                </c:pt>
                <c:pt idx="2">
                  <c:v>186569232</c:v>
                </c:pt>
                <c:pt idx="3">
                  <c:v>296264845</c:v>
                </c:pt>
                <c:pt idx="4">
                  <c:v>382945670</c:v>
                </c:pt>
                <c:pt idx="5">
                  <c:v>530079275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5A-4824-A776-656C04E10B8E}"/>
            </c:ext>
          </c:extLst>
        </c:ser>
        <c:ser>
          <c:idx val="3"/>
          <c:order val="3"/>
          <c:tx>
            <c:strRef>
              <c:f>'Gráficas Tiempos'!$D$123</c:f>
              <c:strCache>
                <c:ptCount val="1"/>
                <c:pt idx="0">
                  <c:v>Filas OpenMP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Tiempos'!$E$123:$J$123</c:f>
              <c:numCache>
                <c:formatCode>General</c:formatCode>
                <c:ptCount val="6"/>
                <c:pt idx="0">
                  <c:v>84022972</c:v>
                </c:pt>
                <c:pt idx="1">
                  <c:v>50850877</c:v>
                </c:pt>
                <c:pt idx="2">
                  <c:v>26196831</c:v>
                </c:pt>
                <c:pt idx="3">
                  <c:v>20731372</c:v>
                </c:pt>
                <c:pt idx="4">
                  <c:v>16542886</c:v>
                </c:pt>
                <c:pt idx="5">
                  <c:v>29146334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5A-4824-A776-656C04E10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6943010172723"/>
          <c:y val="0.12677079055874915"/>
          <c:w val="0.12230569898272764"/>
          <c:h val="0.73361667355178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12245</xdr:colOff>
      <xdr:row>20</xdr:row>
      <xdr:rowOff>3392</xdr:rowOff>
    </xdr:from>
    <xdr:to>
      <xdr:col>11</xdr:col>
      <xdr:colOff>758371</xdr:colOff>
      <xdr:row>44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F68465-1518-4B3C-A5D5-6379B26EA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20</xdr:row>
      <xdr:rowOff>1</xdr:rowOff>
    </xdr:from>
    <xdr:to>
      <xdr:col>24</xdr:col>
      <xdr:colOff>0</xdr:colOff>
      <xdr:row>43</xdr:row>
      <xdr:rowOff>178037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C1576D4-C1CF-4234-8548-CE076FAF8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10430</xdr:colOff>
      <xdr:row>45</xdr:row>
      <xdr:rowOff>0</xdr:rowOff>
    </xdr:from>
    <xdr:to>
      <xdr:col>11</xdr:col>
      <xdr:colOff>756479</xdr:colOff>
      <xdr:row>69</xdr:row>
      <xdr:rowOff>5522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9B2D09A-CE6B-4037-80C4-C09630279B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760186</xdr:colOff>
      <xdr:row>45</xdr:row>
      <xdr:rowOff>6350</xdr:rowOff>
    </xdr:from>
    <xdr:to>
      <xdr:col>23</xdr:col>
      <xdr:colOff>755650</xdr:colOff>
      <xdr:row>68</xdr:row>
      <xdr:rowOff>177800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5C468F1-E53F-4847-9260-4C7731912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32</xdr:row>
      <xdr:rowOff>172357</xdr:rowOff>
    </xdr:from>
    <xdr:to>
      <xdr:col>36</xdr:col>
      <xdr:colOff>0</xdr:colOff>
      <xdr:row>57</xdr:row>
      <xdr:rowOff>14941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95920F9-41EF-43DC-80E1-85288AC7B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12245</xdr:colOff>
      <xdr:row>88</xdr:row>
      <xdr:rowOff>3392</xdr:rowOff>
    </xdr:from>
    <xdr:to>
      <xdr:col>11</xdr:col>
      <xdr:colOff>758371</xdr:colOff>
      <xdr:row>112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103AF71-687F-4EBA-A5E3-FB20B2241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0</xdr:colOff>
      <xdr:row>88</xdr:row>
      <xdr:rowOff>1</xdr:rowOff>
    </xdr:from>
    <xdr:to>
      <xdr:col>24</xdr:col>
      <xdr:colOff>0</xdr:colOff>
      <xdr:row>111</xdr:row>
      <xdr:rowOff>178037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D1CF69E-0389-48D0-8999-914AF4FCD4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10430</xdr:colOff>
      <xdr:row>113</xdr:row>
      <xdr:rowOff>0</xdr:rowOff>
    </xdr:from>
    <xdr:to>
      <xdr:col>11</xdr:col>
      <xdr:colOff>756479</xdr:colOff>
      <xdr:row>137</xdr:row>
      <xdr:rowOff>5522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678BC50-35FD-48CB-A1DC-608FB52E2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760186</xdr:colOff>
      <xdr:row>113</xdr:row>
      <xdr:rowOff>6350</xdr:rowOff>
    </xdr:from>
    <xdr:to>
      <xdr:col>23</xdr:col>
      <xdr:colOff>755650</xdr:colOff>
      <xdr:row>136</xdr:row>
      <xdr:rowOff>177800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5C8C186-03F2-47BE-A7F1-D26F32BA4A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743857</xdr:colOff>
      <xdr:row>100</xdr:row>
      <xdr:rowOff>145143</xdr:rowOff>
    </xdr:from>
    <xdr:to>
      <xdr:col>35</xdr:col>
      <xdr:colOff>743857</xdr:colOff>
      <xdr:row>124</xdr:row>
      <xdr:rowOff>169155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59DDE978-282D-40EF-98D9-5513BCEA2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12245</xdr:colOff>
      <xdr:row>156</xdr:row>
      <xdr:rowOff>3392</xdr:rowOff>
    </xdr:from>
    <xdr:to>
      <xdr:col>11</xdr:col>
      <xdr:colOff>758371</xdr:colOff>
      <xdr:row>180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EC1F6FC5-AD76-499A-A0C6-0D1930628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0</xdr:colOff>
      <xdr:row>156</xdr:row>
      <xdr:rowOff>1</xdr:rowOff>
    </xdr:from>
    <xdr:to>
      <xdr:col>24</xdr:col>
      <xdr:colOff>0</xdr:colOff>
      <xdr:row>179</xdr:row>
      <xdr:rowOff>178037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D95EAF62-3D43-4CFD-AC20-255E78810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10430</xdr:colOff>
      <xdr:row>181</xdr:row>
      <xdr:rowOff>0</xdr:rowOff>
    </xdr:from>
    <xdr:to>
      <xdr:col>11</xdr:col>
      <xdr:colOff>756479</xdr:colOff>
      <xdr:row>205</xdr:row>
      <xdr:rowOff>5522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6B95AD34-BD84-42B1-A2EB-85ADBC8FE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760186</xdr:colOff>
      <xdr:row>181</xdr:row>
      <xdr:rowOff>6350</xdr:rowOff>
    </xdr:from>
    <xdr:to>
      <xdr:col>23</xdr:col>
      <xdr:colOff>755650</xdr:colOff>
      <xdr:row>204</xdr:row>
      <xdr:rowOff>177800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CB1AAD86-FC40-4A09-9627-4CF4E9170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743857</xdr:colOff>
      <xdr:row>168</xdr:row>
      <xdr:rowOff>145143</xdr:rowOff>
    </xdr:from>
    <xdr:to>
      <xdr:col>35</xdr:col>
      <xdr:colOff>743857</xdr:colOff>
      <xdr:row>192</xdr:row>
      <xdr:rowOff>169155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92EC430-5F70-4F28-9D33-D73DCFD5F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12245</xdr:colOff>
      <xdr:row>224</xdr:row>
      <xdr:rowOff>3392</xdr:rowOff>
    </xdr:from>
    <xdr:to>
      <xdr:col>11</xdr:col>
      <xdr:colOff>758371</xdr:colOff>
      <xdr:row>248</xdr:row>
      <xdr:rowOff>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CE7BF2A2-99D6-4215-BCCE-705C294D0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0</xdr:colOff>
      <xdr:row>224</xdr:row>
      <xdr:rowOff>1</xdr:rowOff>
    </xdr:from>
    <xdr:to>
      <xdr:col>24</xdr:col>
      <xdr:colOff>0</xdr:colOff>
      <xdr:row>247</xdr:row>
      <xdr:rowOff>178037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41CDC8F6-4D3B-4D1B-8D42-5CCD78056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10430</xdr:colOff>
      <xdr:row>249</xdr:row>
      <xdr:rowOff>0</xdr:rowOff>
    </xdr:from>
    <xdr:to>
      <xdr:col>11</xdr:col>
      <xdr:colOff>756479</xdr:colOff>
      <xdr:row>273</xdr:row>
      <xdr:rowOff>5522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65F0A8E4-F293-441B-91A7-64A44E911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760186</xdr:colOff>
      <xdr:row>249</xdr:row>
      <xdr:rowOff>6350</xdr:rowOff>
    </xdr:from>
    <xdr:to>
      <xdr:col>23</xdr:col>
      <xdr:colOff>755650</xdr:colOff>
      <xdr:row>272</xdr:row>
      <xdr:rowOff>177800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2805AF3C-EAF8-40C3-AEB1-143FF314D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743857</xdr:colOff>
      <xdr:row>236</xdr:row>
      <xdr:rowOff>145143</xdr:rowOff>
    </xdr:from>
    <xdr:to>
      <xdr:col>35</xdr:col>
      <xdr:colOff>743857</xdr:colOff>
      <xdr:row>260</xdr:row>
      <xdr:rowOff>169155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440FBCDE-C900-4108-9B2A-F9E8BFC1D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</xdr:row>
      <xdr:rowOff>-1</xdr:rowOff>
    </xdr:from>
    <xdr:to>
      <xdr:col>14</xdr:col>
      <xdr:colOff>0</xdr:colOff>
      <xdr:row>36</xdr:row>
      <xdr:rowOff>-1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51B22B-6B47-47C4-94A0-80CC9062B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48</xdr:row>
      <xdr:rowOff>0</xdr:rowOff>
    </xdr:from>
    <xdr:to>
      <xdr:col>14</xdr:col>
      <xdr:colOff>0</xdr:colOff>
      <xdr:row>74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30C1AE-A11F-4AEB-863A-AC9AC7E8A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86</xdr:row>
      <xdr:rowOff>0</xdr:rowOff>
    </xdr:from>
    <xdr:to>
      <xdr:col>14</xdr:col>
      <xdr:colOff>0</xdr:colOff>
      <xdr:row>112</xdr:row>
      <xdr:rowOff>-1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29253A1-4A62-4AEC-88C2-55651A0F0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124</xdr:row>
      <xdr:rowOff>0</xdr:rowOff>
    </xdr:from>
    <xdr:to>
      <xdr:col>14</xdr:col>
      <xdr:colOff>0</xdr:colOff>
      <xdr:row>150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DA2641C-1B6A-43C7-860E-AC2DD5353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4F4A-6F75-42C8-AFA7-27988206E9C1}">
  <dimension ref="B1:AI146"/>
  <sheetViews>
    <sheetView topLeftCell="A116" zoomScale="70" zoomScaleNormal="70" workbookViewId="0">
      <selection activeCell="AC128" sqref="AC128"/>
    </sheetView>
  </sheetViews>
  <sheetFormatPr baseColWidth="10" defaultRowHeight="14.4" x14ac:dyDescent="0.3"/>
  <cols>
    <col min="2" max="2" width="2.5546875" customWidth="1"/>
    <col min="3" max="3" width="24.44140625" customWidth="1"/>
    <col min="4" max="4" width="16.5546875" customWidth="1"/>
    <col min="5" max="5" width="10.77734375" customWidth="1"/>
    <col min="7" max="7" width="10.88671875" customWidth="1"/>
    <col min="11" max="11" width="16.5546875" customWidth="1"/>
    <col min="19" max="19" width="16.5546875" customWidth="1"/>
    <col min="21" max="21" width="12.21875" bestFit="1" customWidth="1"/>
    <col min="26" max="26" width="10.88671875" customWidth="1"/>
    <col min="27" max="27" width="17.77734375" customWidth="1"/>
    <col min="28" max="28" width="7.5546875" customWidth="1"/>
    <col min="29" max="29" width="17.88671875" customWidth="1"/>
    <col min="30" max="30" width="13.88671875" customWidth="1"/>
    <col min="35" max="35" width="1.88671875" customWidth="1"/>
    <col min="60" max="60" width="4.33203125" customWidth="1"/>
    <col min="67" max="67" width="10.88671875" customWidth="1"/>
  </cols>
  <sheetData>
    <row r="1" spans="2:35" ht="15" thickBot="1" x14ac:dyDescent="0.35"/>
    <row r="2" spans="2:35" ht="36.6" x14ac:dyDescent="0.7">
      <c r="B2" s="33" t="s">
        <v>40</v>
      </c>
      <c r="C2" s="15"/>
      <c r="D2" s="15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7"/>
    </row>
    <row r="3" spans="2:35" ht="15" thickBot="1" x14ac:dyDescent="0.35">
      <c r="B3" s="34"/>
      <c r="C3" s="19"/>
      <c r="D3" s="19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1"/>
    </row>
    <row r="4" spans="2:35" x14ac:dyDescent="0.3">
      <c r="B4" s="30"/>
      <c r="C4" s="44" t="s">
        <v>0</v>
      </c>
      <c r="D4" s="35"/>
      <c r="E4" s="35" t="s">
        <v>1</v>
      </c>
      <c r="F4" s="35" t="s">
        <v>2</v>
      </c>
      <c r="G4" s="35" t="s">
        <v>3</v>
      </c>
      <c r="H4" s="35" t="s">
        <v>4</v>
      </c>
      <c r="I4" s="35" t="s">
        <v>5</v>
      </c>
      <c r="J4" s="35" t="s">
        <v>6</v>
      </c>
      <c r="K4" s="46" t="s">
        <v>7</v>
      </c>
      <c r="L4" s="46"/>
      <c r="M4" s="35" t="s">
        <v>1</v>
      </c>
      <c r="N4" s="35" t="s">
        <v>2</v>
      </c>
      <c r="O4" s="35" t="s">
        <v>3</v>
      </c>
      <c r="P4" s="35" t="s">
        <v>4</v>
      </c>
      <c r="Q4" s="35" t="s">
        <v>5</v>
      </c>
      <c r="R4" s="35" t="s">
        <v>6</v>
      </c>
      <c r="S4" s="46" t="s">
        <v>8</v>
      </c>
      <c r="T4" s="46"/>
      <c r="U4" s="35" t="s">
        <v>1</v>
      </c>
      <c r="V4" s="35" t="s">
        <v>2</v>
      </c>
      <c r="W4" s="35" t="s">
        <v>3</v>
      </c>
      <c r="X4" s="35" t="s">
        <v>4</v>
      </c>
      <c r="Y4" s="35" t="s">
        <v>5</v>
      </c>
      <c r="Z4" s="35" t="s">
        <v>6</v>
      </c>
      <c r="AA4" s="46" t="s">
        <v>9</v>
      </c>
      <c r="AB4" s="46"/>
      <c r="AC4" s="35" t="s">
        <v>1</v>
      </c>
      <c r="AD4" s="35" t="s">
        <v>2</v>
      </c>
      <c r="AE4" s="35" t="s">
        <v>3</v>
      </c>
      <c r="AF4" s="35" t="s">
        <v>4</v>
      </c>
      <c r="AG4" s="35" t="s">
        <v>5</v>
      </c>
      <c r="AH4" s="36" t="s">
        <v>6</v>
      </c>
      <c r="AI4" s="21"/>
    </row>
    <row r="5" spans="2:35" x14ac:dyDescent="0.3">
      <c r="B5" s="30"/>
      <c r="C5" s="23"/>
      <c r="D5" s="42" t="s">
        <v>10</v>
      </c>
      <c r="E5" s="41">
        <v>780507</v>
      </c>
      <c r="F5" s="41">
        <v>354575</v>
      </c>
      <c r="G5" s="41">
        <v>174330</v>
      </c>
      <c r="H5" s="41">
        <v>141634</v>
      </c>
      <c r="I5" s="41">
        <v>121772</v>
      </c>
      <c r="J5" s="41">
        <v>134297</v>
      </c>
      <c r="K5" s="20"/>
      <c r="L5" s="20"/>
      <c r="M5" s="41">
        <v>10647585</v>
      </c>
      <c r="N5" s="41">
        <v>2498223</v>
      </c>
      <c r="O5" s="41">
        <v>1184285</v>
      </c>
      <c r="P5" s="41">
        <v>770057</v>
      </c>
      <c r="Q5" s="41">
        <v>640704</v>
      </c>
      <c r="R5" s="41">
        <v>592466</v>
      </c>
      <c r="S5" s="20"/>
      <c r="T5" s="20"/>
      <c r="U5" s="41">
        <v>61090253</v>
      </c>
      <c r="V5" s="41">
        <v>29339988</v>
      </c>
      <c r="W5" s="41">
        <v>18337009</v>
      </c>
      <c r="X5" s="41">
        <v>19012116</v>
      </c>
      <c r="Y5" s="41">
        <v>16887760</v>
      </c>
      <c r="Z5" s="41">
        <v>20828651</v>
      </c>
      <c r="AA5" s="20"/>
      <c r="AB5" s="20"/>
      <c r="AC5" s="41">
        <v>810340626</v>
      </c>
      <c r="AD5" s="41">
        <v>344923802</v>
      </c>
      <c r="AE5" s="41">
        <v>209867257</v>
      </c>
      <c r="AF5" s="41">
        <v>314557817</v>
      </c>
      <c r="AG5" s="41">
        <v>439024629</v>
      </c>
      <c r="AH5" s="43">
        <v>601440899</v>
      </c>
      <c r="AI5" s="21"/>
    </row>
    <row r="6" spans="2:35" x14ac:dyDescent="0.3">
      <c r="B6" s="30"/>
      <c r="C6" s="23"/>
      <c r="D6" s="42" t="s">
        <v>11</v>
      </c>
      <c r="E6" s="41">
        <v>732207</v>
      </c>
      <c r="F6" s="41">
        <v>347882</v>
      </c>
      <c r="G6" s="41">
        <v>172615</v>
      </c>
      <c r="H6" s="41">
        <v>164302</v>
      </c>
      <c r="I6" s="41">
        <v>98188</v>
      </c>
      <c r="J6" s="41">
        <v>130778</v>
      </c>
      <c r="K6" s="20"/>
      <c r="L6" s="20"/>
      <c r="M6" s="41">
        <v>8946676</v>
      </c>
      <c r="N6" s="41">
        <v>2406694</v>
      </c>
      <c r="O6" s="41">
        <v>1239656</v>
      </c>
      <c r="P6" s="41">
        <v>806242</v>
      </c>
      <c r="Q6" s="41">
        <v>610583</v>
      </c>
      <c r="R6" s="41">
        <v>573534</v>
      </c>
      <c r="S6" s="20"/>
      <c r="T6" s="20"/>
      <c r="U6" s="41">
        <v>71659700</v>
      </c>
      <c r="V6" s="41">
        <v>30064063</v>
      </c>
      <c r="W6" s="41">
        <v>18708474</v>
      </c>
      <c r="X6" s="41">
        <v>18904563</v>
      </c>
      <c r="Y6" s="41">
        <v>19143899</v>
      </c>
      <c r="Z6" s="41">
        <v>21779830</v>
      </c>
      <c r="AA6" s="20"/>
      <c r="AB6" s="20"/>
      <c r="AC6" s="41">
        <v>853203887</v>
      </c>
      <c r="AD6" s="41">
        <v>352669268</v>
      </c>
      <c r="AE6" s="41">
        <v>210362974</v>
      </c>
      <c r="AF6" s="41">
        <v>314352742</v>
      </c>
      <c r="AG6" s="41">
        <v>444926903</v>
      </c>
      <c r="AH6" s="43">
        <v>593927789</v>
      </c>
      <c r="AI6" s="21"/>
    </row>
    <row r="7" spans="2:35" x14ac:dyDescent="0.3">
      <c r="B7" s="30"/>
      <c r="C7" s="23"/>
      <c r="D7" s="42" t="s">
        <v>12</v>
      </c>
      <c r="E7" s="41">
        <v>740482</v>
      </c>
      <c r="F7" s="41">
        <v>352830</v>
      </c>
      <c r="G7" s="41">
        <v>175837</v>
      </c>
      <c r="H7" s="41">
        <v>138510</v>
      </c>
      <c r="I7" s="41">
        <v>105795</v>
      </c>
      <c r="J7" s="41">
        <v>129361</v>
      </c>
      <c r="K7" s="20"/>
      <c r="L7" s="20"/>
      <c r="M7" s="41">
        <v>10185806</v>
      </c>
      <c r="N7" s="41">
        <v>2404739</v>
      </c>
      <c r="O7" s="41">
        <v>1193195</v>
      </c>
      <c r="P7" s="41">
        <v>754314</v>
      </c>
      <c r="Q7" s="41">
        <v>643060</v>
      </c>
      <c r="R7" s="41">
        <v>562607</v>
      </c>
      <c r="S7" s="20"/>
      <c r="T7" s="20"/>
      <c r="U7" s="41">
        <v>66714519</v>
      </c>
      <c r="V7" s="41">
        <v>29112105</v>
      </c>
      <c r="W7" s="41">
        <v>16524520</v>
      </c>
      <c r="X7" s="41">
        <v>18630054</v>
      </c>
      <c r="Y7" s="41">
        <v>16662609</v>
      </c>
      <c r="Z7" s="41">
        <v>19491893</v>
      </c>
      <c r="AA7" s="20"/>
      <c r="AB7" s="20"/>
      <c r="AC7" s="41">
        <v>828196157</v>
      </c>
      <c r="AD7" s="41">
        <v>348733109</v>
      </c>
      <c r="AE7" s="41">
        <v>218228137</v>
      </c>
      <c r="AF7" s="41">
        <v>314320474</v>
      </c>
      <c r="AG7" s="41">
        <v>444222423</v>
      </c>
      <c r="AH7" s="43">
        <v>607129141</v>
      </c>
      <c r="AI7" s="21"/>
    </row>
    <row r="8" spans="2:35" x14ac:dyDescent="0.3">
      <c r="B8" s="30"/>
      <c r="C8" s="23"/>
      <c r="D8" s="42" t="s">
        <v>13</v>
      </c>
      <c r="E8" s="41">
        <v>715919</v>
      </c>
      <c r="F8" s="41">
        <v>1139019</v>
      </c>
      <c r="G8" s="41">
        <v>171788</v>
      </c>
      <c r="H8" s="41">
        <v>130556</v>
      </c>
      <c r="I8" s="41">
        <v>104659</v>
      </c>
      <c r="J8" s="41">
        <v>101014</v>
      </c>
      <c r="K8" s="20"/>
      <c r="L8" s="20"/>
      <c r="M8" s="41">
        <v>9285125</v>
      </c>
      <c r="N8" s="41">
        <v>2380966</v>
      </c>
      <c r="O8" s="41">
        <v>2839798</v>
      </c>
      <c r="P8" s="41">
        <v>741351</v>
      </c>
      <c r="Q8" s="41">
        <v>631006</v>
      </c>
      <c r="R8" s="41">
        <v>637875</v>
      </c>
      <c r="S8" s="20"/>
      <c r="T8" s="20"/>
      <c r="U8" s="41">
        <v>91180043</v>
      </c>
      <c r="V8" s="41">
        <v>30100864</v>
      </c>
      <c r="W8" s="41">
        <v>17167210</v>
      </c>
      <c r="X8" s="41">
        <v>17277318</v>
      </c>
      <c r="Y8" s="41">
        <v>18334585</v>
      </c>
      <c r="Z8" s="41">
        <v>21792455</v>
      </c>
      <c r="AA8" s="20"/>
      <c r="AB8" s="20"/>
      <c r="AC8" s="41">
        <v>817972307</v>
      </c>
      <c r="AD8" s="41">
        <v>348143882</v>
      </c>
      <c r="AE8" s="41">
        <v>303071420</v>
      </c>
      <c r="AF8" s="41">
        <v>312516708</v>
      </c>
      <c r="AG8" s="41">
        <v>426768113</v>
      </c>
      <c r="AH8" s="43">
        <v>608857596</v>
      </c>
      <c r="AI8" s="21"/>
    </row>
    <row r="9" spans="2:35" x14ac:dyDescent="0.3">
      <c r="B9" s="30"/>
      <c r="C9" s="23"/>
      <c r="D9" s="42" t="s">
        <v>14</v>
      </c>
      <c r="E9" s="41">
        <v>718793</v>
      </c>
      <c r="F9" s="41">
        <v>353675</v>
      </c>
      <c r="G9" s="41">
        <v>174623</v>
      </c>
      <c r="H9" s="41">
        <v>125005</v>
      </c>
      <c r="I9" s="41">
        <v>97192</v>
      </c>
      <c r="J9" s="41">
        <v>105493</v>
      </c>
      <c r="K9" s="20"/>
      <c r="L9" s="20"/>
      <c r="M9" s="41">
        <v>9899130</v>
      </c>
      <c r="N9" s="41">
        <v>2197945</v>
      </c>
      <c r="O9" s="41">
        <v>1752246</v>
      </c>
      <c r="P9" s="41">
        <v>805489</v>
      </c>
      <c r="Q9" s="41">
        <v>2649661</v>
      </c>
      <c r="R9" s="41">
        <v>578008</v>
      </c>
      <c r="S9" s="20"/>
      <c r="T9" s="20"/>
      <c r="U9" s="41">
        <v>67268030</v>
      </c>
      <c r="V9" s="41">
        <v>30629749</v>
      </c>
      <c r="W9" s="41">
        <v>17005915</v>
      </c>
      <c r="X9" s="41">
        <v>19872641</v>
      </c>
      <c r="Y9" s="41">
        <v>17550849</v>
      </c>
      <c r="Z9" s="41">
        <v>21549166</v>
      </c>
      <c r="AA9" s="20"/>
      <c r="AB9" s="20"/>
      <c r="AC9" s="41">
        <v>818251823</v>
      </c>
      <c r="AD9" s="41">
        <v>357471303</v>
      </c>
      <c r="AE9" s="41">
        <v>184699067</v>
      </c>
      <c r="AF9" s="41">
        <v>311063167</v>
      </c>
      <c r="AG9" s="41">
        <v>448977953</v>
      </c>
      <c r="AH9" s="43">
        <v>602053857</v>
      </c>
      <c r="AI9" s="21"/>
    </row>
    <row r="10" spans="2:35" x14ac:dyDescent="0.3">
      <c r="B10" s="30"/>
      <c r="C10" s="23"/>
      <c r="D10" s="42" t="s">
        <v>15</v>
      </c>
      <c r="E10" s="41">
        <v>725348</v>
      </c>
      <c r="F10" s="41">
        <v>353254</v>
      </c>
      <c r="G10" s="41">
        <v>172907</v>
      </c>
      <c r="H10" s="41">
        <v>161176</v>
      </c>
      <c r="I10" s="41">
        <v>126528</v>
      </c>
      <c r="J10" s="41">
        <v>109813</v>
      </c>
      <c r="K10" s="20"/>
      <c r="L10" s="20"/>
      <c r="M10" s="41">
        <v>11336160</v>
      </c>
      <c r="N10" s="41">
        <v>2144313</v>
      </c>
      <c r="O10" s="41">
        <v>2413125</v>
      </c>
      <c r="P10" s="41">
        <v>845123</v>
      </c>
      <c r="Q10" s="41">
        <v>740005</v>
      </c>
      <c r="R10" s="41">
        <v>559264</v>
      </c>
      <c r="S10" s="20"/>
      <c r="T10" s="20"/>
      <c r="U10" s="41">
        <v>66746186</v>
      </c>
      <c r="V10" s="41">
        <v>29975671</v>
      </c>
      <c r="W10" s="41">
        <v>18590184</v>
      </c>
      <c r="X10" s="41">
        <v>19819640</v>
      </c>
      <c r="Y10" s="41">
        <v>17076970</v>
      </c>
      <c r="Z10" s="41">
        <v>19587853</v>
      </c>
      <c r="AA10" s="20"/>
      <c r="AB10" s="20"/>
      <c r="AC10" s="41">
        <v>826108781</v>
      </c>
      <c r="AD10" s="41">
        <v>376216497</v>
      </c>
      <c r="AE10" s="41">
        <v>188184577</v>
      </c>
      <c r="AF10" s="41">
        <v>311676691</v>
      </c>
      <c r="AG10" s="41">
        <v>443139668</v>
      </c>
      <c r="AH10" s="43">
        <v>630604351</v>
      </c>
      <c r="AI10" s="21"/>
    </row>
    <row r="11" spans="2:35" x14ac:dyDescent="0.3">
      <c r="B11" s="30"/>
      <c r="C11" s="23"/>
      <c r="D11" s="42" t="s">
        <v>16</v>
      </c>
      <c r="E11" s="41">
        <v>727808</v>
      </c>
      <c r="F11" s="41">
        <v>348730</v>
      </c>
      <c r="G11" s="41">
        <v>171022</v>
      </c>
      <c r="H11" s="41">
        <v>134882</v>
      </c>
      <c r="I11" s="41">
        <v>94121</v>
      </c>
      <c r="J11" s="41">
        <v>123939</v>
      </c>
      <c r="K11" s="20"/>
      <c r="L11" s="20"/>
      <c r="M11" s="41">
        <v>9654551</v>
      </c>
      <c r="N11" s="41">
        <v>3160283</v>
      </c>
      <c r="O11" s="41">
        <v>1543399</v>
      </c>
      <c r="P11" s="41">
        <v>843781</v>
      </c>
      <c r="Q11" s="41">
        <v>746029</v>
      </c>
      <c r="R11" s="41">
        <v>575969</v>
      </c>
      <c r="S11" s="20"/>
      <c r="T11" s="20"/>
      <c r="U11" s="41">
        <v>67146376</v>
      </c>
      <c r="V11" s="41">
        <v>29331716</v>
      </c>
      <c r="W11" s="41">
        <v>17644772</v>
      </c>
      <c r="X11" s="41">
        <v>18754693</v>
      </c>
      <c r="Y11" s="41">
        <v>18692034</v>
      </c>
      <c r="Z11" s="41">
        <v>20973920</v>
      </c>
      <c r="AA11" s="20"/>
      <c r="AB11" s="20"/>
      <c r="AC11" s="41">
        <v>818797832</v>
      </c>
      <c r="AD11" s="41">
        <v>355189823</v>
      </c>
      <c r="AE11" s="41">
        <v>187735517</v>
      </c>
      <c r="AF11" s="41">
        <v>317799258</v>
      </c>
      <c r="AG11" s="41">
        <v>414170015</v>
      </c>
      <c r="AH11" s="43">
        <v>623242913</v>
      </c>
      <c r="AI11" s="21"/>
    </row>
    <row r="12" spans="2:35" x14ac:dyDescent="0.3">
      <c r="B12" s="30"/>
      <c r="C12" s="23"/>
      <c r="D12" s="42" t="s">
        <v>17</v>
      </c>
      <c r="E12" s="41">
        <v>736327</v>
      </c>
      <c r="F12" s="41">
        <v>355785</v>
      </c>
      <c r="G12" s="41">
        <v>176489</v>
      </c>
      <c r="H12" s="41">
        <v>151404</v>
      </c>
      <c r="I12" s="41">
        <v>104315</v>
      </c>
      <c r="J12" s="41">
        <v>111427</v>
      </c>
      <c r="K12" s="20"/>
      <c r="L12" s="20"/>
      <c r="M12" s="41">
        <v>8744213</v>
      </c>
      <c r="N12" s="41">
        <v>2367887</v>
      </c>
      <c r="O12" s="41">
        <v>1476966</v>
      </c>
      <c r="P12" s="41">
        <v>725603</v>
      </c>
      <c r="Q12" s="41">
        <v>655578</v>
      </c>
      <c r="R12" s="41">
        <v>569202</v>
      </c>
      <c r="S12" s="20"/>
      <c r="T12" s="20"/>
      <c r="U12" s="41">
        <v>79396123</v>
      </c>
      <c r="V12" s="41">
        <v>29912199</v>
      </c>
      <c r="W12" s="41">
        <v>19526190</v>
      </c>
      <c r="X12" s="41">
        <v>18558584</v>
      </c>
      <c r="Y12" s="41">
        <v>19323058</v>
      </c>
      <c r="Z12" s="41">
        <v>20434425</v>
      </c>
      <c r="AA12" s="20"/>
      <c r="AB12" s="20"/>
      <c r="AC12" s="41">
        <v>834443862</v>
      </c>
      <c r="AD12" s="41">
        <v>352110897</v>
      </c>
      <c r="AE12" s="41">
        <v>188831895</v>
      </c>
      <c r="AF12" s="41">
        <v>313323306</v>
      </c>
      <c r="AG12" s="41">
        <v>442583692</v>
      </c>
      <c r="AH12" s="43">
        <v>609080440</v>
      </c>
      <c r="AI12" s="21"/>
    </row>
    <row r="13" spans="2:35" x14ac:dyDescent="0.3">
      <c r="B13" s="30"/>
      <c r="C13" s="23"/>
      <c r="D13" s="42" t="s">
        <v>18</v>
      </c>
      <c r="E13" s="41">
        <v>792565</v>
      </c>
      <c r="F13" s="41">
        <v>352484</v>
      </c>
      <c r="G13" s="41">
        <v>169095</v>
      </c>
      <c r="H13" s="41">
        <v>138228</v>
      </c>
      <c r="I13" s="41">
        <v>113045</v>
      </c>
      <c r="J13" s="41">
        <v>104312</v>
      </c>
      <c r="K13" s="20"/>
      <c r="L13" s="20"/>
      <c r="M13" s="41">
        <v>8232178</v>
      </c>
      <c r="N13" s="41">
        <v>2408519</v>
      </c>
      <c r="O13" s="41">
        <v>1505775</v>
      </c>
      <c r="P13" s="41">
        <v>764411</v>
      </c>
      <c r="Q13" s="41">
        <v>673666</v>
      </c>
      <c r="R13" s="41">
        <v>512167</v>
      </c>
      <c r="S13" s="20"/>
      <c r="T13" s="20"/>
      <c r="U13" s="41">
        <v>66013359</v>
      </c>
      <c r="V13" s="41">
        <v>29526558</v>
      </c>
      <c r="W13" s="41">
        <v>19528827</v>
      </c>
      <c r="X13" s="41">
        <v>19202863</v>
      </c>
      <c r="Y13" s="41">
        <v>19436959</v>
      </c>
      <c r="Z13" s="41">
        <v>20442682</v>
      </c>
      <c r="AA13" s="20"/>
      <c r="AB13" s="20"/>
      <c r="AC13" s="41">
        <v>807097334</v>
      </c>
      <c r="AD13" s="41">
        <v>351911510</v>
      </c>
      <c r="AE13" s="41">
        <v>182223263</v>
      </c>
      <c r="AF13" s="41">
        <v>315233231</v>
      </c>
      <c r="AG13" s="41">
        <v>413288654</v>
      </c>
      <c r="AH13" s="43">
        <v>617366918</v>
      </c>
      <c r="AI13" s="21"/>
    </row>
    <row r="14" spans="2:35" x14ac:dyDescent="0.3">
      <c r="B14" s="30"/>
      <c r="C14" s="23"/>
      <c r="D14" s="42" t="s">
        <v>19</v>
      </c>
      <c r="E14" s="41">
        <v>747639</v>
      </c>
      <c r="F14" s="41">
        <v>351549</v>
      </c>
      <c r="G14" s="41">
        <v>134926</v>
      </c>
      <c r="H14" s="41">
        <v>145608</v>
      </c>
      <c r="I14" s="41">
        <v>98535</v>
      </c>
      <c r="J14" s="41">
        <v>125214</v>
      </c>
      <c r="K14" s="20"/>
      <c r="L14" s="20"/>
      <c r="M14" s="41">
        <v>9635905</v>
      </c>
      <c r="N14" s="41">
        <v>2262826</v>
      </c>
      <c r="O14" s="41">
        <v>1634018</v>
      </c>
      <c r="P14" s="41">
        <v>746583</v>
      </c>
      <c r="Q14" s="41">
        <v>636748</v>
      </c>
      <c r="R14" s="41">
        <v>586635</v>
      </c>
      <c r="S14" s="20"/>
      <c r="T14" s="20"/>
      <c r="U14" s="41">
        <v>88863851</v>
      </c>
      <c r="V14" s="41">
        <v>29697600</v>
      </c>
      <c r="W14" s="41">
        <v>19416401</v>
      </c>
      <c r="X14" s="41">
        <v>19488213</v>
      </c>
      <c r="Y14" s="41">
        <v>18558811</v>
      </c>
      <c r="Z14" s="41">
        <v>19660227</v>
      </c>
      <c r="AA14" s="20"/>
      <c r="AB14" s="20"/>
      <c r="AC14" s="41">
        <v>841304654</v>
      </c>
      <c r="AD14" s="41">
        <v>351531261</v>
      </c>
      <c r="AE14" s="41">
        <v>181483838</v>
      </c>
      <c r="AF14" s="41">
        <v>310891495</v>
      </c>
      <c r="AG14" s="41">
        <v>442106615</v>
      </c>
      <c r="AH14" s="43">
        <v>613616740</v>
      </c>
      <c r="AI14" s="21"/>
    </row>
    <row r="15" spans="2:35" x14ac:dyDescent="0.3">
      <c r="B15" s="30"/>
      <c r="C15" s="23"/>
      <c r="D15" s="42" t="s">
        <v>20</v>
      </c>
      <c r="E15" s="41">
        <v>861569</v>
      </c>
      <c r="F15" s="41">
        <v>347487</v>
      </c>
      <c r="G15" s="41">
        <v>114162</v>
      </c>
      <c r="H15" s="41">
        <v>142152</v>
      </c>
      <c r="I15" s="41">
        <v>105809</v>
      </c>
      <c r="J15" s="41">
        <v>103281</v>
      </c>
      <c r="K15" s="20"/>
      <c r="L15" s="20"/>
      <c r="M15" s="41">
        <v>10847693</v>
      </c>
      <c r="N15" s="41">
        <v>2361414</v>
      </c>
      <c r="O15" s="41">
        <v>1587714</v>
      </c>
      <c r="P15" s="41">
        <v>735048</v>
      </c>
      <c r="Q15" s="41">
        <v>619848</v>
      </c>
      <c r="R15" s="41">
        <v>619394</v>
      </c>
      <c r="S15" s="20"/>
      <c r="T15" s="20"/>
      <c r="U15" s="41">
        <v>87440858</v>
      </c>
      <c r="V15" s="41">
        <v>29628738</v>
      </c>
      <c r="W15" s="41">
        <v>16893031</v>
      </c>
      <c r="X15" s="41">
        <v>18980364</v>
      </c>
      <c r="Y15" s="41">
        <v>17043111</v>
      </c>
      <c r="Z15" s="41">
        <v>19475023</v>
      </c>
      <c r="AA15" s="50"/>
      <c r="AB15" s="20"/>
      <c r="AC15" s="41">
        <v>827456133</v>
      </c>
      <c r="AD15" s="41">
        <v>351436009</v>
      </c>
      <c r="AE15" s="41">
        <v>191300696</v>
      </c>
      <c r="AF15" s="41">
        <v>314656246</v>
      </c>
      <c r="AG15" s="41">
        <v>410977238</v>
      </c>
      <c r="AH15" s="43">
        <v>599002688</v>
      </c>
      <c r="AI15" s="21"/>
    </row>
    <row r="16" spans="2:35" x14ac:dyDescent="0.3">
      <c r="B16" s="30"/>
      <c r="C16" s="23"/>
      <c r="D16" s="42" t="s">
        <v>21</v>
      </c>
      <c r="E16" s="41">
        <v>713832</v>
      </c>
      <c r="F16" s="41">
        <v>355360</v>
      </c>
      <c r="G16" s="41">
        <v>191841</v>
      </c>
      <c r="H16" s="41">
        <v>151830</v>
      </c>
      <c r="I16" s="41">
        <v>102607</v>
      </c>
      <c r="J16" s="41">
        <v>105091</v>
      </c>
      <c r="K16" s="20"/>
      <c r="L16" s="20"/>
      <c r="M16" s="41">
        <v>8640392</v>
      </c>
      <c r="N16" s="41">
        <v>3193495</v>
      </c>
      <c r="O16" s="41">
        <v>1420757</v>
      </c>
      <c r="P16" s="41">
        <v>785617</v>
      </c>
      <c r="Q16" s="41">
        <v>612459</v>
      </c>
      <c r="R16" s="41">
        <v>587681</v>
      </c>
      <c r="S16" s="20"/>
      <c r="T16" s="20"/>
      <c r="U16" s="41">
        <v>67210103</v>
      </c>
      <c r="V16" s="41">
        <v>29479722</v>
      </c>
      <c r="W16" s="41">
        <v>18779165</v>
      </c>
      <c r="X16" s="41">
        <v>16704427</v>
      </c>
      <c r="Y16" s="41">
        <v>19812001</v>
      </c>
      <c r="Z16" s="41">
        <v>19531123</v>
      </c>
      <c r="AA16" s="20"/>
      <c r="AB16" s="20"/>
      <c r="AC16" s="41">
        <v>800998004</v>
      </c>
      <c r="AD16" s="41">
        <v>351108933</v>
      </c>
      <c r="AE16" s="41">
        <v>182906931</v>
      </c>
      <c r="AF16" s="41">
        <v>319002767</v>
      </c>
      <c r="AG16" s="41">
        <v>427854736</v>
      </c>
      <c r="AH16" s="43">
        <v>607472298</v>
      </c>
      <c r="AI16" s="21"/>
    </row>
    <row r="17" spans="2:35" x14ac:dyDescent="0.3">
      <c r="B17" s="30"/>
      <c r="C17" s="23"/>
      <c r="D17" s="42" t="s">
        <v>22</v>
      </c>
      <c r="E17" s="41">
        <v>799163</v>
      </c>
      <c r="F17" s="41">
        <v>359374</v>
      </c>
      <c r="G17" s="41">
        <v>216741</v>
      </c>
      <c r="H17" s="41">
        <v>137575</v>
      </c>
      <c r="I17" s="41">
        <v>109409</v>
      </c>
      <c r="J17" s="41">
        <v>103280</v>
      </c>
      <c r="K17" s="20"/>
      <c r="L17" s="20"/>
      <c r="M17" s="41">
        <v>6002371</v>
      </c>
      <c r="N17" s="41">
        <v>2367444</v>
      </c>
      <c r="O17" s="41">
        <v>1308586</v>
      </c>
      <c r="P17" s="41">
        <v>835419</v>
      </c>
      <c r="Q17" s="41">
        <v>628479</v>
      </c>
      <c r="R17" s="41">
        <v>581892</v>
      </c>
      <c r="S17" s="20"/>
      <c r="T17" s="20"/>
      <c r="U17" s="41">
        <v>67487307</v>
      </c>
      <c r="V17" s="41">
        <v>29456988</v>
      </c>
      <c r="W17" s="41">
        <v>17594192</v>
      </c>
      <c r="X17" s="41">
        <v>19565687</v>
      </c>
      <c r="Y17" s="41">
        <v>17495304</v>
      </c>
      <c r="Z17" s="41">
        <v>19148679</v>
      </c>
      <c r="AA17" s="20"/>
      <c r="AB17" s="20"/>
      <c r="AC17" s="41">
        <v>820709127</v>
      </c>
      <c r="AD17" s="41">
        <v>348478742</v>
      </c>
      <c r="AE17" s="41">
        <v>186885548</v>
      </c>
      <c r="AF17" s="41">
        <v>307723624</v>
      </c>
      <c r="AG17" s="41">
        <v>452973069</v>
      </c>
      <c r="AH17" s="43">
        <v>603625390</v>
      </c>
      <c r="AI17" s="21"/>
    </row>
    <row r="18" spans="2:35" x14ac:dyDescent="0.3">
      <c r="B18" s="30"/>
      <c r="C18" s="23"/>
      <c r="D18" s="42" t="s">
        <v>23</v>
      </c>
      <c r="E18" s="41">
        <v>754757</v>
      </c>
      <c r="F18" s="41">
        <v>354781</v>
      </c>
      <c r="G18" s="41">
        <v>913536</v>
      </c>
      <c r="H18" s="41">
        <v>154410</v>
      </c>
      <c r="I18" s="41">
        <v>116816</v>
      </c>
      <c r="J18" s="41">
        <v>128070</v>
      </c>
      <c r="K18" s="20"/>
      <c r="L18" s="20"/>
      <c r="M18" s="41">
        <v>7061775</v>
      </c>
      <c r="N18" s="41">
        <v>2276710</v>
      </c>
      <c r="O18" s="41">
        <v>1237457</v>
      </c>
      <c r="P18" s="41">
        <v>835458</v>
      </c>
      <c r="Q18" s="41">
        <v>621141</v>
      </c>
      <c r="R18" s="41">
        <v>585736</v>
      </c>
      <c r="S18" s="20"/>
      <c r="T18" s="20"/>
      <c r="U18" s="41">
        <v>89157364</v>
      </c>
      <c r="V18" s="41">
        <v>29515822</v>
      </c>
      <c r="W18" s="41">
        <v>16539189</v>
      </c>
      <c r="X18" s="41">
        <v>17241726</v>
      </c>
      <c r="Y18" s="41">
        <v>19235969</v>
      </c>
      <c r="Z18" s="41">
        <v>18411214</v>
      </c>
      <c r="AA18" s="20"/>
      <c r="AB18" s="20"/>
      <c r="AC18" s="41">
        <v>838375416</v>
      </c>
      <c r="AD18" s="41">
        <v>347821228</v>
      </c>
      <c r="AE18" s="41">
        <v>180626180</v>
      </c>
      <c r="AF18" s="41">
        <v>313905353</v>
      </c>
      <c r="AG18" s="41">
        <v>417314011</v>
      </c>
      <c r="AH18" s="43">
        <v>604000160</v>
      </c>
      <c r="AI18" s="21"/>
    </row>
    <row r="19" spans="2:35" x14ac:dyDescent="0.3">
      <c r="B19" s="30"/>
      <c r="C19" s="23"/>
      <c r="D19" s="42" t="s">
        <v>24</v>
      </c>
      <c r="E19" s="41">
        <v>834981</v>
      </c>
      <c r="F19" s="41">
        <v>345942</v>
      </c>
      <c r="G19" s="41">
        <v>173294</v>
      </c>
      <c r="H19" s="41">
        <v>140941</v>
      </c>
      <c r="I19" s="41">
        <v>102144</v>
      </c>
      <c r="J19" s="41">
        <v>106458</v>
      </c>
      <c r="K19" s="20"/>
      <c r="L19" s="20"/>
      <c r="M19" s="41">
        <v>6856853</v>
      </c>
      <c r="N19" s="41">
        <v>2219433</v>
      </c>
      <c r="O19" s="41">
        <v>1389929</v>
      </c>
      <c r="P19" s="41">
        <v>830692</v>
      </c>
      <c r="Q19" s="41">
        <v>654341</v>
      </c>
      <c r="R19" s="41">
        <v>568241</v>
      </c>
      <c r="S19" s="20"/>
      <c r="T19" s="20"/>
      <c r="U19" s="41">
        <v>89083352</v>
      </c>
      <c r="V19" s="41">
        <v>30359588</v>
      </c>
      <c r="W19" s="41">
        <v>17440604</v>
      </c>
      <c r="X19" s="41">
        <v>18932466</v>
      </c>
      <c r="Y19" s="41">
        <v>18046618</v>
      </c>
      <c r="Z19" s="41">
        <v>20865030</v>
      </c>
      <c r="AA19" s="20"/>
      <c r="AB19" s="20"/>
      <c r="AC19" s="41">
        <v>759581672</v>
      </c>
      <c r="AD19" s="41">
        <v>346983009</v>
      </c>
      <c r="AE19" s="41">
        <v>183144633</v>
      </c>
      <c r="AF19" s="41">
        <v>315428314</v>
      </c>
      <c r="AG19" s="41">
        <v>454460852</v>
      </c>
      <c r="AH19" s="43">
        <v>596513074</v>
      </c>
      <c r="AI19" s="21"/>
    </row>
    <row r="20" spans="2:35" x14ac:dyDescent="0.3">
      <c r="B20" s="30"/>
      <c r="C20" s="23"/>
      <c r="D20" s="42" t="s">
        <v>25</v>
      </c>
      <c r="E20" s="41">
        <v>1584517</v>
      </c>
      <c r="F20" s="41">
        <v>344318</v>
      </c>
      <c r="G20" s="41">
        <v>175367</v>
      </c>
      <c r="H20" s="41">
        <v>131783</v>
      </c>
      <c r="I20" s="41">
        <v>100849</v>
      </c>
      <c r="J20" s="41">
        <v>120442</v>
      </c>
      <c r="K20" s="20"/>
      <c r="L20" s="20"/>
      <c r="M20" s="41">
        <v>5366117</v>
      </c>
      <c r="N20" s="41">
        <v>2037071</v>
      </c>
      <c r="O20" s="41">
        <v>1301726</v>
      </c>
      <c r="P20" s="41">
        <v>858817</v>
      </c>
      <c r="Q20" s="41">
        <v>644607</v>
      </c>
      <c r="R20" s="41">
        <v>572603</v>
      </c>
      <c r="S20" s="20"/>
      <c r="T20" s="20"/>
      <c r="U20" s="41">
        <v>67076035</v>
      </c>
      <c r="V20" s="41">
        <v>29680648</v>
      </c>
      <c r="W20" s="41">
        <v>16142052</v>
      </c>
      <c r="X20" s="41">
        <v>19073072</v>
      </c>
      <c r="Y20" s="41">
        <v>19398276</v>
      </c>
      <c r="Z20" s="41">
        <v>18727960</v>
      </c>
      <c r="AA20" s="20"/>
      <c r="AB20" s="20"/>
      <c r="AC20" s="41">
        <v>773176215</v>
      </c>
      <c r="AD20" s="41">
        <v>353066040</v>
      </c>
      <c r="AE20" s="41">
        <v>182711740</v>
      </c>
      <c r="AF20" s="41">
        <v>303660773</v>
      </c>
      <c r="AG20" s="41">
        <v>456044683</v>
      </c>
      <c r="AH20" s="43">
        <v>617996605</v>
      </c>
      <c r="AI20" s="21"/>
    </row>
    <row r="21" spans="2:35" x14ac:dyDescent="0.3">
      <c r="B21" s="30"/>
      <c r="C21" s="23"/>
      <c r="D21" s="42" t="s">
        <v>26</v>
      </c>
      <c r="E21" s="41">
        <v>793441</v>
      </c>
      <c r="F21" s="41">
        <v>347936</v>
      </c>
      <c r="G21" s="41">
        <v>174239</v>
      </c>
      <c r="H21" s="41">
        <v>128395</v>
      </c>
      <c r="I21" s="41">
        <v>104597</v>
      </c>
      <c r="J21" s="41">
        <v>118811</v>
      </c>
      <c r="K21" s="20"/>
      <c r="L21" s="20"/>
      <c r="M21" s="41">
        <v>7944211</v>
      </c>
      <c r="N21" s="41">
        <v>2272951</v>
      </c>
      <c r="O21" s="41">
        <v>1537431</v>
      </c>
      <c r="P21" s="41">
        <v>863577</v>
      </c>
      <c r="Q21" s="41">
        <v>625953</v>
      </c>
      <c r="R21" s="41">
        <v>584457</v>
      </c>
      <c r="S21" s="20"/>
      <c r="T21" s="20"/>
      <c r="U21" s="41">
        <v>86794443</v>
      </c>
      <c r="V21" s="41">
        <v>29497585</v>
      </c>
      <c r="W21" s="41">
        <v>16746427</v>
      </c>
      <c r="X21" s="41">
        <v>16803682</v>
      </c>
      <c r="Y21" s="41">
        <v>18802173</v>
      </c>
      <c r="Z21" s="41">
        <v>18912193</v>
      </c>
      <c r="AA21" s="20"/>
      <c r="AB21" s="20"/>
      <c r="AC21" s="41">
        <v>763999362</v>
      </c>
      <c r="AD21" s="41">
        <v>349914427</v>
      </c>
      <c r="AE21" s="41">
        <v>190351298</v>
      </c>
      <c r="AF21" s="41">
        <v>316341761</v>
      </c>
      <c r="AG21" s="41">
        <v>417301578</v>
      </c>
      <c r="AH21" s="43">
        <v>598035624</v>
      </c>
      <c r="AI21" s="21"/>
    </row>
    <row r="22" spans="2:35" x14ac:dyDescent="0.3">
      <c r="B22" s="30"/>
      <c r="C22" s="23"/>
      <c r="D22" s="42" t="s">
        <v>27</v>
      </c>
      <c r="E22" s="41">
        <v>746268</v>
      </c>
      <c r="F22" s="41">
        <v>348377</v>
      </c>
      <c r="G22" s="41">
        <v>175418</v>
      </c>
      <c r="H22" s="41">
        <v>135224</v>
      </c>
      <c r="I22" s="41">
        <v>99976</v>
      </c>
      <c r="J22" s="41">
        <v>126170</v>
      </c>
      <c r="K22" s="20"/>
      <c r="L22" s="20"/>
      <c r="M22" s="41">
        <v>5343403</v>
      </c>
      <c r="N22" s="41">
        <v>2367794</v>
      </c>
      <c r="O22" s="41">
        <v>1344856</v>
      </c>
      <c r="P22" s="41">
        <v>913057</v>
      </c>
      <c r="Q22" s="41">
        <v>620017</v>
      </c>
      <c r="R22" s="41">
        <v>570416</v>
      </c>
      <c r="S22" s="20"/>
      <c r="T22" s="20"/>
      <c r="U22" s="41">
        <v>88675470</v>
      </c>
      <c r="V22" s="41">
        <v>30239152</v>
      </c>
      <c r="W22" s="41">
        <v>17080763</v>
      </c>
      <c r="X22" s="41">
        <v>19030304</v>
      </c>
      <c r="Y22" s="41">
        <v>17071867</v>
      </c>
      <c r="Z22" s="41">
        <v>19825947</v>
      </c>
      <c r="AA22" s="20"/>
      <c r="AB22" s="20"/>
      <c r="AC22" s="41">
        <v>775081517</v>
      </c>
      <c r="AD22" s="41">
        <v>347714224</v>
      </c>
      <c r="AE22" s="41">
        <v>181512097</v>
      </c>
      <c r="AF22" s="41">
        <v>308120431</v>
      </c>
      <c r="AG22" s="41">
        <v>452093205</v>
      </c>
      <c r="AH22" s="43">
        <v>604405102</v>
      </c>
      <c r="AI22" s="21"/>
    </row>
    <row r="23" spans="2:35" x14ac:dyDescent="0.3">
      <c r="B23" s="30"/>
      <c r="C23" s="23"/>
      <c r="D23" s="42" t="s">
        <v>28</v>
      </c>
      <c r="E23" s="41">
        <v>753575</v>
      </c>
      <c r="F23" s="41">
        <v>348470</v>
      </c>
      <c r="G23" s="41">
        <v>174990</v>
      </c>
      <c r="H23" s="41">
        <v>141500</v>
      </c>
      <c r="I23" s="41">
        <v>104981</v>
      </c>
      <c r="J23" s="41">
        <v>127140</v>
      </c>
      <c r="K23" s="20"/>
      <c r="L23" s="20"/>
      <c r="M23" s="41">
        <v>5281529</v>
      </c>
      <c r="N23" s="41">
        <v>2273459</v>
      </c>
      <c r="O23" s="41">
        <v>2549457</v>
      </c>
      <c r="P23" s="41">
        <v>784519</v>
      </c>
      <c r="Q23" s="41">
        <v>666507</v>
      </c>
      <c r="R23" s="41">
        <v>570134</v>
      </c>
      <c r="S23" s="20"/>
      <c r="T23" s="20"/>
      <c r="U23" s="41">
        <v>88727448</v>
      </c>
      <c r="V23" s="41">
        <v>29049385</v>
      </c>
      <c r="W23" s="41">
        <v>17911553</v>
      </c>
      <c r="X23" s="41">
        <v>19450884</v>
      </c>
      <c r="Y23" s="41">
        <v>17496651</v>
      </c>
      <c r="Z23" s="41">
        <v>21584542</v>
      </c>
      <c r="AA23" s="20"/>
      <c r="AB23" s="20"/>
      <c r="AC23" s="41">
        <v>794253894</v>
      </c>
      <c r="AD23" s="41">
        <v>350004662</v>
      </c>
      <c r="AE23" s="41">
        <v>181293809</v>
      </c>
      <c r="AF23" s="41">
        <v>316645345</v>
      </c>
      <c r="AG23" s="41">
        <v>421909926</v>
      </c>
      <c r="AH23" s="43">
        <v>603952381</v>
      </c>
      <c r="AI23" s="21"/>
    </row>
    <row r="24" spans="2:35" x14ac:dyDescent="0.3">
      <c r="B24" s="30"/>
      <c r="C24" s="23"/>
      <c r="D24" s="42" t="s">
        <v>29</v>
      </c>
      <c r="E24" s="41">
        <v>747521</v>
      </c>
      <c r="F24" s="41">
        <v>349783</v>
      </c>
      <c r="G24" s="41">
        <v>175819</v>
      </c>
      <c r="H24" s="41">
        <v>124513</v>
      </c>
      <c r="I24" s="41">
        <v>100725</v>
      </c>
      <c r="J24" s="41">
        <v>110587</v>
      </c>
      <c r="K24" s="20"/>
      <c r="L24" s="20"/>
      <c r="M24" s="41">
        <v>5884359</v>
      </c>
      <c r="N24" s="41">
        <v>2277374</v>
      </c>
      <c r="O24" s="41">
        <v>1244662</v>
      </c>
      <c r="P24" s="41">
        <v>788421</v>
      </c>
      <c r="Q24" s="41">
        <v>621794</v>
      </c>
      <c r="R24" s="41">
        <v>645429</v>
      </c>
      <c r="S24" s="20"/>
      <c r="T24" s="20"/>
      <c r="U24" s="41">
        <v>88966699</v>
      </c>
      <c r="V24" s="41">
        <v>30384455</v>
      </c>
      <c r="W24" s="41">
        <v>19357168</v>
      </c>
      <c r="X24" s="41">
        <v>19055934</v>
      </c>
      <c r="Y24" s="41">
        <v>18878831</v>
      </c>
      <c r="Z24" s="41">
        <v>21641966</v>
      </c>
      <c r="AA24" s="20"/>
      <c r="AB24" s="20"/>
      <c r="AC24" s="41">
        <v>817799644</v>
      </c>
      <c r="AD24" s="41">
        <v>349225862</v>
      </c>
      <c r="AE24" s="41">
        <v>180230063</v>
      </c>
      <c r="AF24" s="41">
        <v>313135903</v>
      </c>
      <c r="AG24" s="41">
        <v>453193570</v>
      </c>
      <c r="AH24" s="43">
        <v>620112111</v>
      </c>
      <c r="AI24" s="21"/>
    </row>
    <row r="25" spans="2:35" x14ac:dyDescent="0.3">
      <c r="B25" s="30"/>
      <c r="C25" s="23"/>
      <c r="D25" s="42" t="s">
        <v>30</v>
      </c>
      <c r="E25" s="41">
        <v>789302</v>
      </c>
      <c r="F25" s="41">
        <v>348347</v>
      </c>
      <c r="G25" s="41">
        <v>195280</v>
      </c>
      <c r="H25" s="41">
        <v>154953</v>
      </c>
      <c r="I25" s="41">
        <v>107056</v>
      </c>
      <c r="J25" s="41">
        <v>122770</v>
      </c>
      <c r="K25" s="20"/>
      <c r="L25" s="20"/>
      <c r="M25" s="41">
        <v>4831523</v>
      </c>
      <c r="N25" s="41">
        <v>2286156</v>
      </c>
      <c r="O25" s="41">
        <v>1153192</v>
      </c>
      <c r="P25" s="41">
        <v>775428</v>
      </c>
      <c r="Q25" s="41">
        <v>610517</v>
      </c>
      <c r="R25" s="41">
        <v>593895</v>
      </c>
      <c r="S25" s="20"/>
      <c r="T25" s="20"/>
      <c r="U25" s="41">
        <v>88842057</v>
      </c>
      <c r="V25" s="41">
        <v>30344647</v>
      </c>
      <c r="W25" s="41">
        <v>19799448</v>
      </c>
      <c r="X25" s="41">
        <v>16872377</v>
      </c>
      <c r="Y25" s="41">
        <v>16871789</v>
      </c>
      <c r="Z25" s="41">
        <v>19580205</v>
      </c>
      <c r="AA25" s="20"/>
      <c r="AB25" s="20"/>
      <c r="AC25" s="41">
        <v>880056130</v>
      </c>
      <c r="AD25" s="41">
        <v>347357279</v>
      </c>
      <c r="AE25" s="41">
        <v>179242550</v>
      </c>
      <c r="AF25" s="41">
        <v>309601620</v>
      </c>
      <c r="AG25" s="41">
        <v>421663314</v>
      </c>
      <c r="AH25" s="43">
        <v>593986785</v>
      </c>
      <c r="AI25" s="21"/>
    </row>
    <row r="26" spans="2:35" x14ac:dyDescent="0.3">
      <c r="B26" s="30"/>
      <c r="C26" s="23"/>
      <c r="D26" s="42" t="s">
        <v>31</v>
      </c>
      <c r="E26" s="41">
        <v>740680</v>
      </c>
      <c r="F26" s="41">
        <v>349348</v>
      </c>
      <c r="G26" s="41">
        <v>177330</v>
      </c>
      <c r="H26" s="41">
        <v>163490</v>
      </c>
      <c r="I26" s="41">
        <v>117052</v>
      </c>
      <c r="J26" s="41">
        <v>120284</v>
      </c>
      <c r="K26" s="20"/>
      <c r="L26" s="20"/>
      <c r="M26" s="41">
        <v>5190083</v>
      </c>
      <c r="N26" s="41">
        <v>2297863</v>
      </c>
      <c r="O26" s="41">
        <v>1194323</v>
      </c>
      <c r="P26" s="41">
        <v>729179</v>
      </c>
      <c r="Q26" s="41">
        <v>634461</v>
      </c>
      <c r="R26" s="41">
        <v>569169</v>
      </c>
      <c r="S26" s="20"/>
      <c r="T26" s="20"/>
      <c r="U26" s="41">
        <v>88828351</v>
      </c>
      <c r="V26" s="41">
        <v>29496227</v>
      </c>
      <c r="W26" s="41">
        <v>18112093</v>
      </c>
      <c r="X26" s="41">
        <v>18411679</v>
      </c>
      <c r="Y26" s="41">
        <v>17731655</v>
      </c>
      <c r="Z26" s="41">
        <v>20512717</v>
      </c>
      <c r="AA26" s="20"/>
      <c r="AB26" s="20"/>
      <c r="AC26" s="41">
        <v>820938480</v>
      </c>
      <c r="AD26" s="41">
        <v>350061872</v>
      </c>
      <c r="AE26" s="41">
        <v>179614725</v>
      </c>
      <c r="AF26" s="41">
        <v>316166559</v>
      </c>
      <c r="AG26" s="41">
        <v>419684776</v>
      </c>
      <c r="AH26" s="43">
        <v>595626140</v>
      </c>
      <c r="AI26" s="21"/>
    </row>
    <row r="27" spans="2:35" x14ac:dyDescent="0.3">
      <c r="B27" s="30"/>
      <c r="C27" s="23"/>
      <c r="D27" s="42" t="s">
        <v>32</v>
      </c>
      <c r="E27" s="41">
        <v>721569</v>
      </c>
      <c r="F27" s="41">
        <v>355575</v>
      </c>
      <c r="G27" s="41">
        <v>176867</v>
      </c>
      <c r="H27" s="41">
        <v>149042</v>
      </c>
      <c r="I27" s="41">
        <v>111394</v>
      </c>
      <c r="J27" s="41">
        <v>111246</v>
      </c>
      <c r="K27" s="20"/>
      <c r="L27" s="20"/>
      <c r="M27" s="41">
        <v>5074286</v>
      </c>
      <c r="N27" s="41">
        <v>2554679</v>
      </c>
      <c r="O27" s="41">
        <v>1169735</v>
      </c>
      <c r="P27" s="41">
        <v>804899</v>
      </c>
      <c r="Q27" s="41">
        <v>614557</v>
      </c>
      <c r="R27" s="41">
        <v>577269</v>
      </c>
      <c r="S27" s="20"/>
      <c r="T27" s="20"/>
      <c r="U27" s="41">
        <v>66636772</v>
      </c>
      <c r="V27" s="41">
        <v>29791185</v>
      </c>
      <c r="W27" s="41">
        <v>19581983</v>
      </c>
      <c r="X27" s="41">
        <v>17579424</v>
      </c>
      <c r="Y27" s="41">
        <v>18055840</v>
      </c>
      <c r="Z27" s="41">
        <v>18745068</v>
      </c>
      <c r="AA27" s="20"/>
      <c r="AB27" s="20"/>
      <c r="AC27" s="41">
        <v>796291703</v>
      </c>
      <c r="AD27" s="41">
        <v>347138243</v>
      </c>
      <c r="AE27" s="41">
        <v>183784182</v>
      </c>
      <c r="AF27" s="41">
        <v>312511387</v>
      </c>
      <c r="AG27" s="41">
        <v>446617406</v>
      </c>
      <c r="AH27" s="43">
        <v>611532894</v>
      </c>
      <c r="AI27" s="21"/>
    </row>
    <row r="28" spans="2:35" x14ac:dyDescent="0.3">
      <c r="B28" s="30"/>
      <c r="C28" s="23"/>
      <c r="D28" s="42" t="s">
        <v>33</v>
      </c>
      <c r="E28" s="41">
        <v>738643</v>
      </c>
      <c r="F28" s="41">
        <v>352472</v>
      </c>
      <c r="G28" s="41">
        <v>176344</v>
      </c>
      <c r="H28" s="41">
        <v>127920</v>
      </c>
      <c r="I28" s="41">
        <v>102658</v>
      </c>
      <c r="J28" s="41">
        <v>121118</v>
      </c>
      <c r="K28" s="20"/>
      <c r="L28" s="20"/>
      <c r="M28" s="41">
        <v>4217031</v>
      </c>
      <c r="N28" s="41">
        <v>2265737</v>
      </c>
      <c r="O28" s="41">
        <v>1238077</v>
      </c>
      <c r="P28" s="41">
        <v>835705</v>
      </c>
      <c r="Q28" s="41">
        <v>638545</v>
      </c>
      <c r="R28" s="41">
        <v>565009</v>
      </c>
      <c r="S28" s="20"/>
      <c r="T28" s="20"/>
      <c r="U28" s="41">
        <v>89706225</v>
      </c>
      <c r="V28" s="41">
        <v>30210855</v>
      </c>
      <c r="W28" s="41">
        <v>18878665</v>
      </c>
      <c r="X28" s="41">
        <v>17585313</v>
      </c>
      <c r="Y28" s="41">
        <v>17004516</v>
      </c>
      <c r="Z28" s="41">
        <v>19361617</v>
      </c>
      <c r="AA28" s="20"/>
      <c r="AB28" s="20"/>
      <c r="AC28" s="41">
        <v>794160322</v>
      </c>
      <c r="AD28" s="41">
        <v>346873791</v>
      </c>
      <c r="AE28" s="41">
        <v>185566659</v>
      </c>
      <c r="AF28" s="41">
        <v>311154518</v>
      </c>
      <c r="AG28" s="41">
        <v>449236068</v>
      </c>
      <c r="AH28" s="43">
        <v>602456091</v>
      </c>
      <c r="AI28" s="21"/>
    </row>
    <row r="29" spans="2:35" x14ac:dyDescent="0.3">
      <c r="B29" s="30"/>
      <c r="C29" s="23"/>
      <c r="D29" s="42" t="s">
        <v>34</v>
      </c>
      <c r="E29" s="41">
        <v>822914</v>
      </c>
      <c r="F29" s="41">
        <v>349136</v>
      </c>
      <c r="G29" s="41">
        <v>183949</v>
      </c>
      <c r="H29" s="41">
        <v>128766</v>
      </c>
      <c r="I29" s="41">
        <v>93802</v>
      </c>
      <c r="J29" s="41">
        <v>115514</v>
      </c>
      <c r="K29" s="20"/>
      <c r="L29" s="20"/>
      <c r="M29" s="41">
        <v>5856942</v>
      </c>
      <c r="N29" s="41">
        <v>2230963</v>
      </c>
      <c r="O29" s="41">
        <v>1449381</v>
      </c>
      <c r="P29" s="41">
        <v>833153</v>
      </c>
      <c r="Q29" s="41">
        <v>628727</v>
      </c>
      <c r="R29" s="41">
        <v>581223</v>
      </c>
      <c r="S29" s="20"/>
      <c r="T29" s="20"/>
      <c r="U29" s="41">
        <v>84589177</v>
      </c>
      <c r="V29" s="41">
        <v>30627920</v>
      </c>
      <c r="W29" s="41">
        <v>17560792</v>
      </c>
      <c r="X29" s="41">
        <v>18870398</v>
      </c>
      <c r="Y29" s="41">
        <v>17864459</v>
      </c>
      <c r="Z29" s="41">
        <v>21301548</v>
      </c>
      <c r="AA29" s="20"/>
      <c r="AB29" s="20"/>
      <c r="AC29" s="41">
        <v>832012606</v>
      </c>
      <c r="AD29" s="41">
        <v>349550869</v>
      </c>
      <c r="AE29" s="41">
        <v>183302264</v>
      </c>
      <c r="AF29" s="41">
        <v>317593365</v>
      </c>
      <c r="AG29" s="41">
        <v>420789412</v>
      </c>
      <c r="AH29" s="43">
        <v>612591150</v>
      </c>
      <c r="AI29" s="21"/>
    </row>
    <row r="30" spans="2:35" x14ac:dyDescent="0.3">
      <c r="B30" s="30"/>
      <c r="C30" s="23"/>
      <c r="D30" s="42" t="s">
        <v>35</v>
      </c>
      <c r="E30" s="41">
        <v>731890</v>
      </c>
      <c r="F30" s="41">
        <v>344562</v>
      </c>
      <c r="G30" s="41">
        <v>174174</v>
      </c>
      <c r="H30" s="41">
        <v>142918</v>
      </c>
      <c r="I30" s="41">
        <v>795401</v>
      </c>
      <c r="J30" s="41">
        <v>99784</v>
      </c>
      <c r="K30" s="20"/>
      <c r="L30" s="20"/>
      <c r="M30" s="41">
        <v>4680397</v>
      </c>
      <c r="N30" s="41">
        <v>2265049</v>
      </c>
      <c r="O30" s="41">
        <v>1176128</v>
      </c>
      <c r="P30" s="41">
        <v>800335</v>
      </c>
      <c r="Q30" s="41">
        <v>622487</v>
      </c>
      <c r="R30" s="41">
        <v>572304</v>
      </c>
      <c r="S30" s="20"/>
      <c r="T30" s="20"/>
      <c r="U30" s="41">
        <v>87911681</v>
      </c>
      <c r="V30" s="41">
        <v>30197338</v>
      </c>
      <c r="W30" s="41">
        <v>16872690</v>
      </c>
      <c r="X30" s="41">
        <v>16750795</v>
      </c>
      <c r="Y30" s="41">
        <v>19168010</v>
      </c>
      <c r="Z30" s="41">
        <v>19438288</v>
      </c>
      <c r="AA30" s="20"/>
      <c r="AB30" s="20"/>
      <c r="AC30" s="41">
        <v>807441731</v>
      </c>
      <c r="AD30" s="41">
        <v>348410331</v>
      </c>
      <c r="AE30" s="41">
        <v>186003892</v>
      </c>
      <c r="AF30" s="41">
        <v>317411868</v>
      </c>
      <c r="AG30" s="41">
        <v>424631104</v>
      </c>
      <c r="AH30" s="43">
        <v>632947569</v>
      </c>
      <c r="AI30" s="21"/>
    </row>
    <row r="31" spans="2:35" x14ac:dyDescent="0.3">
      <c r="B31" s="30"/>
      <c r="C31" s="23"/>
      <c r="D31" s="42" t="s">
        <v>36</v>
      </c>
      <c r="E31" s="41">
        <v>741607</v>
      </c>
      <c r="F31" s="41">
        <v>345641</v>
      </c>
      <c r="G31" s="41">
        <v>175767</v>
      </c>
      <c r="H31" s="41">
        <v>142738</v>
      </c>
      <c r="I31" s="41">
        <v>99967</v>
      </c>
      <c r="J31" s="41">
        <v>108876</v>
      </c>
      <c r="K31" s="20"/>
      <c r="L31" s="20"/>
      <c r="M31" s="41">
        <v>4508802</v>
      </c>
      <c r="N31" s="41">
        <v>2291975</v>
      </c>
      <c r="O31" s="41">
        <v>1331662</v>
      </c>
      <c r="P31" s="41">
        <v>851496</v>
      </c>
      <c r="Q31" s="41">
        <v>596715</v>
      </c>
      <c r="R31" s="41">
        <v>580959</v>
      </c>
      <c r="S31" s="20"/>
      <c r="T31" s="20"/>
      <c r="U31" s="41">
        <v>67106857</v>
      </c>
      <c r="V31" s="41">
        <v>29633564</v>
      </c>
      <c r="W31" s="41">
        <v>16448360</v>
      </c>
      <c r="X31" s="41">
        <v>19626357</v>
      </c>
      <c r="Y31" s="41">
        <v>18584796</v>
      </c>
      <c r="Z31" s="41">
        <v>19556889</v>
      </c>
      <c r="AA31" s="20"/>
      <c r="AB31" s="20"/>
      <c r="AC31" s="41">
        <v>792933296</v>
      </c>
      <c r="AD31" s="41">
        <v>347441128</v>
      </c>
      <c r="AE31" s="41">
        <v>181763494</v>
      </c>
      <c r="AF31" s="41">
        <v>314053474</v>
      </c>
      <c r="AG31" s="41">
        <v>426712768</v>
      </c>
      <c r="AH31" s="43">
        <v>604862604</v>
      </c>
      <c r="AI31" s="21"/>
    </row>
    <row r="32" spans="2:35" x14ac:dyDescent="0.3">
      <c r="B32" s="30"/>
      <c r="C32" s="23"/>
      <c r="D32" s="42" t="s">
        <v>37</v>
      </c>
      <c r="E32" s="41">
        <v>751120</v>
      </c>
      <c r="F32" s="41">
        <v>354368</v>
      </c>
      <c r="G32" s="41">
        <v>178240</v>
      </c>
      <c r="H32" s="41">
        <v>129891</v>
      </c>
      <c r="I32" s="41">
        <v>98064</v>
      </c>
      <c r="J32" s="41">
        <v>98737</v>
      </c>
      <c r="K32" s="20"/>
      <c r="L32" s="20"/>
      <c r="M32" s="41">
        <v>4348376</v>
      </c>
      <c r="N32" s="41">
        <v>2378268</v>
      </c>
      <c r="O32" s="41">
        <v>1136722</v>
      </c>
      <c r="P32" s="41">
        <v>883555</v>
      </c>
      <c r="Q32" s="41">
        <v>691140</v>
      </c>
      <c r="R32" s="41">
        <v>565754</v>
      </c>
      <c r="S32" s="20"/>
      <c r="T32" s="20"/>
      <c r="U32" s="41">
        <v>88149211</v>
      </c>
      <c r="V32" s="41">
        <v>30393713</v>
      </c>
      <c r="W32" s="41">
        <v>18528953</v>
      </c>
      <c r="X32" s="41">
        <v>19771711</v>
      </c>
      <c r="Y32" s="41">
        <v>16711999</v>
      </c>
      <c r="Z32" s="41">
        <v>18761932</v>
      </c>
      <c r="AA32" s="20"/>
      <c r="AB32" s="20"/>
      <c r="AC32" s="41">
        <v>831710059</v>
      </c>
      <c r="AD32" s="41">
        <v>354278655</v>
      </c>
      <c r="AE32" s="41">
        <v>182318977</v>
      </c>
      <c r="AF32" s="41">
        <v>305513576</v>
      </c>
      <c r="AG32" s="41">
        <v>453008836</v>
      </c>
      <c r="AH32" s="43">
        <v>610401151</v>
      </c>
      <c r="AI32" s="21"/>
    </row>
    <row r="33" spans="2:35" x14ac:dyDescent="0.3">
      <c r="B33" s="30"/>
      <c r="C33" s="23"/>
      <c r="D33" s="42" t="s">
        <v>38</v>
      </c>
      <c r="E33" s="41">
        <v>814658</v>
      </c>
      <c r="F33" s="41">
        <v>351108</v>
      </c>
      <c r="G33" s="41">
        <v>174643</v>
      </c>
      <c r="H33" s="41">
        <v>142890</v>
      </c>
      <c r="I33" s="41">
        <v>164442</v>
      </c>
      <c r="J33" s="41">
        <v>96243</v>
      </c>
      <c r="K33" s="20"/>
      <c r="L33" s="20"/>
      <c r="M33" s="41">
        <v>4471470</v>
      </c>
      <c r="N33" s="41">
        <v>2263777</v>
      </c>
      <c r="O33" s="41">
        <v>2077966</v>
      </c>
      <c r="P33" s="41">
        <v>774519</v>
      </c>
      <c r="Q33" s="41">
        <v>792519</v>
      </c>
      <c r="R33" s="41">
        <v>542726</v>
      </c>
      <c r="S33" s="20"/>
      <c r="T33" s="20"/>
      <c r="U33" s="41">
        <v>67956811</v>
      </c>
      <c r="V33" s="41">
        <v>30180776</v>
      </c>
      <c r="W33" s="41">
        <v>18909297</v>
      </c>
      <c r="X33" s="41">
        <v>19520320</v>
      </c>
      <c r="Y33" s="41">
        <v>17859838</v>
      </c>
      <c r="Z33" s="41">
        <v>18652259</v>
      </c>
      <c r="AA33" s="20"/>
      <c r="AB33" s="20"/>
      <c r="AC33" s="41">
        <v>795528240</v>
      </c>
      <c r="AD33" s="41">
        <v>350340759</v>
      </c>
      <c r="AE33" s="41">
        <v>184137540</v>
      </c>
      <c r="AF33" s="41">
        <v>314954845</v>
      </c>
      <c r="AG33" s="41">
        <v>425104143</v>
      </c>
      <c r="AH33" s="43">
        <v>565446341</v>
      </c>
      <c r="AI33" s="21"/>
    </row>
    <row r="34" spans="2:35" x14ac:dyDescent="0.3">
      <c r="B34" s="30"/>
      <c r="C34" s="23"/>
      <c r="D34" s="42" t="s">
        <v>39</v>
      </c>
      <c r="E34" s="41">
        <v>749784</v>
      </c>
      <c r="F34" s="41">
        <v>358669</v>
      </c>
      <c r="G34" s="41">
        <v>186786</v>
      </c>
      <c r="H34" s="41">
        <v>156836</v>
      </c>
      <c r="I34" s="41">
        <v>115464</v>
      </c>
      <c r="J34" s="41">
        <v>115729</v>
      </c>
      <c r="K34" s="20"/>
      <c r="L34" s="20"/>
      <c r="M34" s="41">
        <v>4493509</v>
      </c>
      <c r="N34" s="41">
        <v>2207701</v>
      </c>
      <c r="O34" s="41">
        <v>1154366</v>
      </c>
      <c r="P34" s="41">
        <v>830976</v>
      </c>
      <c r="Q34" s="41">
        <v>643503</v>
      </c>
      <c r="R34" s="41">
        <v>547192</v>
      </c>
      <c r="S34" s="20"/>
      <c r="T34" s="20"/>
      <c r="U34" s="41">
        <v>87262565</v>
      </c>
      <c r="V34" s="41">
        <v>29515356</v>
      </c>
      <c r="W34" s="41">
        <v>17062737</v>
      </c>
      <c r="X34" s="41">
        <v>18852877</v>
      </c>
      <c r="Y34" s="41">
        <v>17397027</v>
      </c>
      <c r="Z34" s="41">
        <v>20471825</v>
      </c>
      <c r="AA34" s="20"/>
      <c r="AB34" s="20"/>
      <c r="AC34" s="41">
        <v>826950608</v>
      </c>
      <c r="AD34" s="41">
        <v>347712908</v>
      </c>
      <c r="AE34" s="41">
        <v>191339204</v>
      </c>
      <c r="AF34" s="41">
        <v>299965648</v>
      </c>
      <c r="AG34" s="41">
        <v>455696219</v>
      </c>
      <c r="AH34" s="43">
        <v>581676683</v>
      </c>
      <c r="AI34" s="21"/>
    </row>
    <row r="35" spans="2:35" ht="15" thickBot="1" x14ac:dyDescent="0.35">
      <c r="B35" s="30"/>
      <c r="C35" s="24"/>
      <c r="D35" s="37" t="s">
        <v>44</v>
      </c>
      <c r="E35" s="25" cm="1">
        <f t="array" ref="E35">ROUND(AVERAGE(IF((ISNUMBER(E5:E34))*(E5:E34&lt;LARGE(E5:E34,2))*(E5:E34&gt;SMALL(E5:E34,2)),E5:E34)),0)</f>
        <v>758983</v>
      </c>
      <c r="F35" s="25" cm="1">
        <f t="array" ref="F35">ROUND(AVERAGE(IF((ISNUMBER(F5:F34))*(F5:F34&lt;LARGE(F5:F34,2))*(F5:F34&gt;SMALL(F5:F34,2)),F5:F34)),0)</f>
        <v>351291</v>
      </c>
      <c r="G35" s="25" cm="1">
        <f t="array" ref="G35">ROUND(AVERAGE(IF((ISNUMBER(G5:G34))*(G5:G34&lt;LARGE(G5:G34,2))*(G5:G34&gt;SMALL(G5:G34,2)),G5:G34)),0)</f>
        <v>176887</v>
      </c>
      <c r="H35" s="25" cm="1">
        <f t="array" ref="H35">ROUND(AVERAGE(IF((ISNUMBER(H5:H34))*(H5:H34&lt;LARGE(H5:H34,2))*(H5:H34&gt;SMALL(H5:H34,2)),H5:H34)),0)</f>
        <v>141606</v>
      </c>
      <c r="I35" s="25" cm="1">
        <f t="array" ref="I35">ROUND(AVERAGE(IF((ISNUMBER(I5:I34))*(I5:I34&lt;LARGE(I5:I34,2))*(I5:I34&gt;SMALL(I5:I34,2)),I5:I34)),0)</f>
        <v>106523</v>
      </c>
      <c r="J35" s="25" cm="1">
        <f t="array" ref="J35">ROUND(AVERAGE(IF((ISNUMBER(J5:J34))*(J5:J34&lt;LARGE(J5:J34,2))*(J5:J34&gt;SMALL(J5:J34,2)),J5:J34)),0)</f>
        <v>114432</v>
      </c>
      <c r="K35" s="25"/>
      <c r="L35" s="25"/>
      <c r="M35" s="25" cm="1">
        <f t="array" ref="M35">ROUND(AVERAGE(IF((ISNUMBER(M5:M34))*(M5:M34&lt;LARGE(M5:M34,2))*(M5:M34&gt;SMALL(M5:M34,2)),M5:M34)),0)</f>
        <v>7027661</v>
      </c>
      <c r="N35" s="25" cm="1">
        <f t="array" ref="N35">ROUND(AVERAGE(IF((ISNUMBER(N5:N34))*(N5:N34&lt;LARGE(N5:N34,2))*(N5:N34&gt;SMALL(N5:N34,2)),N5:N34)),0)</f>
        <v>2322559</v>
      </c>
      <c r="O35" s="25" cm="1">
        <f t="array" ref="O35">ROUND(AVERAGE(IF((ISNUMBER(O5:O34))*(O5:O34&lt;LARGE(O5:O34,2))*(O5:O34&gt;SMALL(O5:O34,2)),O5:O34)),0)</f>
        <v>1427209</v>
      </c>
      <c r="P35" s="25" cm="1">
        <f t="array" ref="P35">ROUND(AVERAGE(IF((ISNUMBER(P5:P34))*(P5:P34&lt;LARGE(P5:P34,2))*(P5:P34&gt;SMALL(P5:P34,2)),P5:P34)),0)</f>
        <v>803901</v>
      </c>
      <c r="Q35" s="25" cm="1">
        <f t="array" ref="Q35">ROUND(AVERAGE(IF((ISNUMBER(Q5:Q34))*(Q5:Q34&lt;LARGE(Q5:Q34,2))*(Q5:Q34&gt;SMALL(Q5:Q34,2)),Q5:Q34)),0)</f>
        <v>644844</v>
      </c>
      <c r="R35" s="25" cm="1">
        <f t="array" ref="R35">ROUND(AVERAGE(IF((ISNUMBER(R5:R34))*(R5:R34&lt;LARGE(R5:R34,2))*(R5:R34&gt;SMALL(R5:R34,2)),R5:R34)),0)</f>
        <v>576577</v>
      </c>
      <c r="S35" s="25"/>
      <c r="T35" s="25"/>
      <c r="U35" s="25" cm="1">
        <f t="array" ref="U35">ROUND(AVERAGE(IF((ISNUMBER(U5:U34))*(U5:U34&lt;LARGE(U5:U34,2))*(U5:U34&gt;SMALL(U5:U34,2)),U5:U34)),0)</f>
        <v>79065283</v>
      </c>
      <c r="V35" s="25" cm="1">
        <f t="array" ref="V35">ROUND(AVERAGE(IF((ISNUMBER(V5:V34))*(V5:V34&lt;LARGE(V5:V34,2))*(V5:V34&gt;SMALL(V5:V34,2)),V5:V34)),0)</f>
        <v>29844424</v>
      </c>
      <c r="W35" s="25" cm="1">
        <f t="array" ref="W35">ROUND(AVERAGE(IF((ISNUMBER(W5:W34))*(W5:W34&lt;LARGE(W5:W34,2))*(W5:W34&gt;SMALL(W5:W34,2)),W5:W34)),0)</f>
        <v>17950647</v>
      </c>
      <c r="X35" s="25" cm="1">
        <f t="array" ref="X35">ROUND(AVERAGE(IF((ISNUMBER(X5:X34))*(X5:X34&lt;LARGE(X5:X34,2))*(X5:X34&gt;SMALL(X5:X34,2)),X5:X34)),0)</f>
        <v>18655884</v>
      </c>
      <c r="Y35" s="25" cm="1">
        <f t="array" ref="Y35">ROUND(AVERAGE(IF((ISNUMBER(Y5:Y34))*(Y5:Y34&lt;LARGE(Y5:Y34,2))*(Y5:Y34&gt;SMALL(Y5:Y34,2)),Y5:Y34)),0)</f>
        <v>18060565</v>
      </c>
      <c r="Z35" s="25" cm="1">
        <f t="array" ref="Z35">ROUND(AVERAGE(IF((ISNUMBER(Z5:Z34))*(Z5:Z34&lt;LARGE(Z5:Z34,2))*(Z5:Z34&gt;SMALL(Z5:Z34,2)),Z5:Z34)),0)</f>
        <v>20015822</v>
      </c>
      <c r="AA35" s="25"/>
      <c r="AB35" s="25"/>
      <c r="AC35" s="25" cm="1">
        <f t="array" ref="AC35">ROUND(AVERAGE(IF((ISNUMBER(AC5:AC34))*(AC5:AC34&lt;LARGE(AC5:AC34,2))*(AC5:AC34&gt;SMALL(AC5:AC34,2)),AC5:AC34)),0)</f>
        <v>813397322</v>
      </c>
      <c r="AD35" s="25" cm="1">
        <f t="array" ref="AD35">ROUND(AVERAGE(IF((ISNUMBER(AD5:AD34))*(AD5:AD34&lt;LARGE(AD5:AD34,2))*(AD5:AD34&gt;SMALL(AD5:AD34,2)),AD5:AD34)),0)</f>
        <v>349935959</v>
      </c>
      <c r="AE35" s="25" cm="1">
        <f t="array" ref="AE35">ROUND(AVERAGE(IF((ISNUMBER(AE5:AE34))*(AE5:AE34&lt;LARGE(AE5:AE34,2))*(AE5:AE34&gt;SMALL(AE5:AE34,2)),AE5:AE34)),0)</f>
        <v>186637215</v>
      </c>
      <c r="AF35" s="25" cm="1">
        <f t="array" ref="AF35">ROUND(AVERAGE(IF((ISNUMBER(AF5:AF34))*(AF5:AF34&lt;LARGE(AF5:AF34,2))*(AF5:AF34&gt;SMALL(AF5:AF34,2)),AF5:AF34)),0)</f>
        <v>313186685</v>
      </c>
      <c r="AG35" s="25" cm="1">
        <f t="array" ref="AG35">ROUND(AVERAGE(IF((ISNUMBER(AG5:AG34))*(AG5:AG34&lt;LARGE(AG5:AG34,2))*(AG5:AG34&gt;SMALL(AG5:AG34,2)),AG5:AG34)),0)</f>
        <v>435787261</v>
      </c>
      <c r="AH35" s="26" cm="1">
        <f t="array" ref="AH35">ROUND(AVERAGE(IF((ISNUMBER(AH5:AH34))*(AH5:AH34&lt;LARGE(AH5:AH34,2))*(AH5:AH34&gt;SMALL(AH5:AH34,2)),AH5:AH34)),0)</f>
        <v>606280329</v>
      </c>
      <c r="AI35" s="21"/>
    </row>
    <row r="36" spans="2:35" ht="15" thickBot="1" x14ac:dyDescent="0.35">
      <c r="B36" s="31"/>
      <c r="C36" s="28"/>
      <c r="D36" s="3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9"/>
    </row>
    <row r="37" spans="2:35" ht="15" thickBot="1" x14ac:dyDescent="0.35">
      <c r="B37" s="32"/>
      <c r="D37" s="1"/>
    </row>
    <row r="38" spans="2:35" ht="36.6" x14ac:dyDescent="0.7">
      <c r="B38" s="33" t="s">
        <v>41</v>
      </c>
      <c r="C38" s="15"/>
      <c r="D38" s="3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7"/>
    </row>
    <row r="39" spans="2:35" ht="15" thickBot="1" x14ac:dyDescent="0.35">
      <c r="B39" s="34"/>
      <c r="C39" s="19"/>
      <c r="D39" s="4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1"/>
    </row>
    <row r="40" spans="2:35" x14ac:dyDescent="0.3">
      <c r="B40" s="30"/>
      <c r="C40" s="44" t="s">
        <v>0</v>
      </c>
      <c r="D40" s="35"/>
      <c r="E40" s="35" t="s">
        <v>1</v>
      </c>
      <c r="F40" s="35" t="s">
        <v>2</v>
      </c>
      <c r="G40" s="35" t="s">
        <v>3</v>
      </c>
      <c r="H40" s="35" t="s">
        <v>4</v>
      </c>
      <c r="I40" s="35" t="s">
        <v>5</v>
      </c>
      <c r="J40" s="35" t="s">
        <v>6</v>
      </c>
      <c r="K40" s="46" t="s">
        <v>7</v>
      </c>
      <c r="L40" s="46"/>
      <c r="M40" s="35" t="s">
        <v>1</v>
      </c>
      <c r="N40" s="35" t="s">
        <v>2</v>
      </c>
      <c r="O40" s="35" t="s">
        <v>3</v>
      </c>
      <c r="P40" s="35" t="s">
        <v>4</v>
      </c>
      <c r="Q40" s="35" t="s">
        <v>5</v>
      </c>
      <c r="R40" s="35" t="s">
        <v>6</v>
      </c>
      <c r="S40" s="46" t="s">
        <v>8</v>
      </c>
      <c r="T40" s="46"/>
      <c r="U40" s="35" t="s">
        <v>1</v>
      </c>
      <c r="V40" s="35" t="s">
        <v>2</v>
      </c>
      <c r="W40" s="35" t="s">
        <v>3</v>
      </c>
      <c r="X40" s="35" t="s">
        <v>4</v>
      </c>
      <c r="Y40" s="35" t="s">
        <v>5</v>
      </c>
      <c r="Z40" s="35" t="s">
        <v>6</v>
      </c>
      <c r="AA40" s="46" t="s">
        <v>9</v>
      </c>
      <c r="AB40" s="46"/>
      <c r="AC40" s="35" t="s">
        <v>1</v>
      </c>
      <c r="AD40" s="35" t="s">
        <v>2</v>
      </c>
      <c r="AE40" s="35" t="s">
        <v>3</v>
      </c>
      <c r="AF40" s="35" t="s">
        <v>4</v>
      </c>
      <c r="AG40" s="35" t="s">
        <v>5</v>
      </c>
      <c r="AH40" s="36" t="s">
        <v>6</v>
      </c>
      <c r="AI40" s="21"/>
    </row>
    <row r="41" spans="2:35" x14ac:dyDescent="0.3">
      <c r="B41" s="30"/>
      <c r="C41" s="23"/>
      <c r="D41" s="42" t="s">
        <v>10</v>
      </c>
      <c r="E41" s="41">
        <v>225227</v>
      </c>
      <c r="F41" s="41">
        <v>101472</v>
      </c>
      <c r="G41" s="41">
        <v>51788</v>
      </c>
      <c r="H41" s="41">
        <v>56423</v>
      </c>
      <c r="I41" s="41">
        <v>55259</v>
      </c>
      <c r="J41" s="41">
        <v>72162</v>
      </c>
      <c r="K41" s="20"/>
      <c r="L41" s="20"/>
      <c r="M41" s="41">
        <v>4258947</v>
      </c>
      <c r="N41" s="41">
        <v>960055</v>
      </c>
      <c r="O41" s="41">
        <v>412460</v>
      </c>
      <c r="P41" s="41">
        <v>360569</v>
      </c>
      <c r="Q41" s="41">
        <v>439109</v>
      </c>
      <c r="R41" s="41">
        <v>416830</v>
      </c>
      <c r="S41" s="20"/>
      <c r="T41" s="20"/>
      <c r="U41" s="41">
        <v>67463075</v>
      </c>
      <c r="V41" s="41">
        <v>35996632</v>
      </c>
      <c r="W41" s="41">
        <v>20494149</v>
      </c>
      <c r="X41" s="41">
        <v>17479926</v>
      </c>
      <c r="Y41" s="41">
        <v>17436931</v>
      </c>
      <c r="Z41" s="41">
        <v>19882298</v>
      </c>
      <c r="AA41" s="20"/>
      <c r="AB41" s="20"/>
      <c r="AC41" s="41">
        <v>1005927976</v>
      </c>
      <c r="AD41" s="41">
        <v>469424201</v>
      </c>
      <c r="AE41" s="41">
        <v>285249276</v>
      </c>
      <c r="AF41" s="41">
        <v>282043441</v>
      </c>
      <c r="AG41" s="41">
        <v>367342018</v>
      </c>
      <c r="AH41" s="43">
        <v>448323889</v>
      </c>
      <c r="AI41" s="21"/>
    </row>
    <row r="42" spans="2:35" x14ac:dyDescent="0.3">
      <c r="B42" s="30"/>
      <c r="C42" s="23"/>
      <c r="D42" s="42" t="s">
        <v>11</v>
      </c>
      <c r="E42" s="41">
        <v>210474</v>
      </c>
      <c r="F42" s="41">
        <v>111718</v>
      </c>
      <c r="G42" s="41">
        <v>52521</v>
      </c>
      <c r="H42" s="41">
        <v>60340</v>
      </c>
      <c r="I42" s="41">
        <v>55654</v>
      </c>
      <c r="J42" s="41">
        <v>51426</v>
      </c>
      <c r="K42" s="20"/>
      <c r="L42" s="20"/>
      <c r="M42" s="41">
        <v>4296428</v>
      </c>
      <c r="N42" s="41">
        <v>1007339</v>
      </c>
      <c r="O42" s="41">
        <v>425784</v>
      </c>
      <c r="P42" s="41">
        <v>398170</v>
      </c>
      <c r="Q42" s="41">
        <v>349374</v>
      </c>
      <c r="R42" s="41">
        <v>385144</v>
      </c>
      <c r="S42" s="20"/>
      <c r="T42" s="20"/>
      <c r="U42" s="41">
        <v>82224274</v>
      </c>
      <c r="V42" s="41">
        <v>36233844</v>
      </c>
      <c r="W42" s="41">
        <v>19319758</v>
      </c>
      <c r="X42" s="41">
        <v>17663612</v>
      </c>
      <c r="Y42" s="41">
        <v>17309839</v>
      </c>
      <c r="Z42" s="41">
        <v>19039227</v>
      </c>
      <c r="AA42" s="20"/>
      <c r="AB42" s="20"/>
      <c r="AC42" s="41">
        <v>1001568843</v>
      </c>
      <c r="AD42" s="41">
        <v>476920788</v>
      </c>
      <c r="AE42" s="41">
        <v>278506107</v>
      </c>
      <c r="AF42" s="41">
        <v>281702704</v>
      </c>
      <c r="AG42" s="41">
        <v>338111124</v>
      </c>
      <c r="AH42" s="43">
        <v>428050528</v>
      </c>
      <c r="AI42" s="21"/>
    </row>
    <row r="43" spans="2:35" x14ac:dyDescent="0.3">
      <c r="B43" s="30"/>
      <c r="C43" s="23"/>
      <c r="D43" s="42" t="s">
        <v>12</v>
      </c>
      <c r="E43" s="41">
        <v>219813</v>
      </c>
      <c r="F43" s="41">
        <v>99255</v>
      </c>
      <c r="G43" s="41">
        <v>49792</v>
      </c>
      <c r="H43" s="41">
        <v>56244</v>
      </c>
      <c r="I43" s="41">
        <v>48359</v>
      </c>
      <c r="J43" s="41">
        <v>49563</v>
      </c>
      <c r="K43" s="20"/>
      <c r="L43" s="20"/>
      <c r="M43" s="41">
        <v>4188375</v>
      </c>
      <c r="N43" s="41">
        <v>1085081</v>
      </c>
      <c r="O43" s="41">
        <v>590333</v>
      </c>
      <c r="P43" s="41">
        <v>412891</v>
      </c>
      <c r="Q43" s="41">
        <v>400336</v>
      </c>
      <c r="R43" s="41">
        <v>433725</v>
      </c>
      <c r="S43" s="20"/>
      <c r="T43" s="20"/>
      <c r="U43" s="41">
        <v>73105939</v>
      </c>
      <c r="V43" s="41">
        <v>36833912</v>
      </c>
      <c r="W43" s="41">
        <v>20399088</v>
      </c>
      <c r="X43" s="41">
        <v>18909892</v>
      </c>
      <c r="Y43" s="41">
        <v>17482600</v>
      </c>
      <c r="Z43" s="41">
        <v>20180627</v>
      </c>
      <c r="AA43" s="20"/>
      <c r="AB43" s="20"/>
      <c r="AC43" s="41">
        <v>1009411084</v>
      </c>
      <c r="AD43" s="41">
        <v>477246369</v>
      </c>
      <c r="AE43" s="41">
        <v>315851260</v>
      </c>
      <c r="AF43" s="41">
        <v>283697419</v>
      </c>
      <c r="AG43" s="41">
        <v>337681419</v>
      </c>
      <c r="AH43" s="43">
        <v>440526364</v>
      </c>
      <c r="AI43" s="21"/>
    </row>
    <row r="44" spans="2:35" x14ac:dyDescent="0.3">
      <c r="B44" s="30"/>
      <c r="C44" s="23"/>
      <c r="D44" s="42" t="s">
        <v>13</v>
      </c>
      <c r="E44" s="41">
        <v>215186</v>
      </c>
      <c r="F44" s="41">
        <v>99203</v>
      </c>
      <c r="G44" s="41">
        <v>50154</v>
      </c>
      <c r="H44" s="41">
        <v>51074</v>
      </c>
      <c r="I44" s="41">
        <v>49141</v>
      </c>
      <c r="J44" s="41">
        <v>76476</v>
      </c>
      <c r="K44" s="20"/>
      <c r="L44" s="20"/>
      <c r="M44" s="41">
        <v>5145184</v>
      </c>
      <c r="N44" s="41">
        <v>1078485</v>
      </c>
      <c r="O44" s="41">
        <v>1608185</v>
      </c>
      <c r="P44" s="41">
        <v>374082</v>
      </c>
      <c r="Q44" s="41">
        <v>68602771</v>
      </c>
      <c r="R44" s="41">
        <v>386995</v>
      </c>
      <c r="S44" s="20"/>
      <c r="T44" s="20"/>
      <c r="U44" s="41">
        <v>82421656</v>
      </c>
      <c r="V44" s="41">
        <v>35983439</v>
      </c>
      <c r="W44" s="41">
        <v>18934100</v>
      </c>
      <c r="X44" s="41">
        <v>18623559</v>
      </c>
      <c r="Y44" s="41">
        <v>17681122</v>
      </c>
      <c r="Z44" s="41">
        <v>20075762</v>
      </c>
      <c r="AA44" s="20"/>
      <c r="AB44" s="20"/>
      <c r="AC44" s="41">
        <v>1022603300</v>
      </c>
      <c r="AD44" s="41">
        <v>475142209</v>
      </c>
      <c r="AE44" s="41">
        <v>284525528</v>
      </c>
      <c r="AF44" s="41">
        <v>301113893</v>
      </c>
      <c r="AG44" s="41">
        <v>337407397</v>
      </c>
      <c r="AH44" s="43">
        <v>401133214</v>
      </c>
      <c r="AI44" s="21"/>
    </row>
    <row r="45" spans="2:35" x14ac:dyDescent="0.3">
      <c r="B45" s="30"/>
      <c r="C45" s="23"/>
      <c r="D45" s="42" t="s">
        <v>14</v>
      </c>
      <c r="E45" s="41">
        <v>212179</v>
      </c>
      <c r="F45" s="41">
        <v>100558</v>
      </c>
      <c r="G45" s="41">
        <v>52555</v>
      </c>
      <c r="H45" s="41">
        <v>47962</v>
      </c>
      <c r="I45" s="41">
        <v>49558</v>
      </c>
      <c r="J45" s="41">
        <v>48805</v>
      </c>
      <c r="K45" s="20"/>
      <c r="L45" s="20"/>
      <c r="M45" s="41">
        <v>4538469</v>
      </c>
      <c r="N45" s="41">
        <v>819857</v>
      </c>
      <c r="O45" s="41">
        <v>818650</v>
      </c>
      <c r="P45" s="41">
        <v>387122</v>
      </c>
      <c r="Q45" s="41">
        <v>575283</v>
      </c>
      <c r="R45" s="41">
        <v>407870</v>
      </c>
      <c r="S45" s="20"/>
      <c r="T45" s="20"/>
      <c r="U45" s="41">
        <v>83163492</v>
      </c>
      <c r="V45" s="41">
        <v>35725527</v>
      </c>
      <c r="W45" s="41">
        <v>20463054</v>
      </c>
      <c r="X45" s="41">
        <v>17789199</v>
      </c>
      <c r="Y45" s="41">
        <v>17208933</v>
      </c>
      <c r="Z45" s="41">
        <v>18775199</v>
      </c>
      <c r="AA45" s="20"/>
      <c r="AB45" s="20"/>
      <c r="AC45" s="41">
        <v>999715656</v>
      </c>
      <c r="AD45" s="41">
        <v>473756113</v>
      </c>
      <c r="AE45" s="41">
        <v>244487998</v>
      </c>
      <c r="AF45" s="41">
        <v>280248977</v>
      </c>
      <c r="AG45" s="41">
        <v>328305470</v>
      </c>
      <c r="AH45" s="43">
        <v>433594024</v>
      </c>
      <c r="AI45" s="21"/>
    </row>
    <row r="46" spans="2:35" x14ac:dyDescent="0.3">
      <c r="B46" s="30"/>
      <c r="C46" s="23"/>
      <c r="D46" s="42" t="s">
        <v>15</v>
      </c>
      <c r="E46" s="41">
        <v>218004</v>
      </c>
      <c r="F46" s="41">
        <v>101017</v>
      </c>
      <c r="G46" s="41">
        <v>51765</v>
      </c>
      <c r="H46" s="41">
        <v>76488</v>
      </c>
      <c r="I46" s="41">
        <v>48233</v>
      </c>
      <c r="J46" s="41">
        <v>46928</v>
      </c>
      <c r="K46" s="20"/>
      <c r="L46" s="20"/>
      <c r="M46" s="41">
        <v>5040858</v>
      </c>
      <c r="N46" s="41">
        <v>850190</v>
      </c>
      <c r="O46" s="41">
        <v>1423986</v>
      </c>
      <c r="P46" s="41">
        <v>442590</v>
      </c>
      <c r="Q46" s="41">
        <v>522603</v>
      </c>
      <c r="R46" s="41">
        <v>429380</v>
      </c>
      <c r="S46" s="20"/>
      <c r="T46" s="20"/>
      <c r="U46" s="41">
        <v>84415277</v>
      </c>
      <c r="V46" s="41">
        <v>36369954</v>
      </c>
      <c r="W46" s="41">
        <v>19208134</v>
      </c>
      <c r="X46" s="41">
        <v>17574024</v>
      </c>
      <c r="Y46" s="41">
        <v>18915432</v>
      </c>
      <c r="Z46" s="41">
        <v>20348982</v>
      </c>
      <c r="AA46" s="20"/>
      <c r="AB46" s="20"/>
      <c r="AC46" s="41">
        <v>1016311354</v>
      </c>
      <c r="AD46" s="41">
        <v>474555161</v>
      </c>
      <c r="AE46" s="41">
        <v>245213846</v>
      </c>
      <c r="AF46" s="41">
        <v>302267771</v>
      </c>
      <c r="AG46" s="41">
        <v>361629342</v>
      </c>
      <c r="AH46" s="43">
        <v>383493104</v>
      </c>
      <c r="AI46" s="21"/>
    </row>
    <row r="47" spans="2:35" x14ac:dyDescent="0.3">
      <c r="B47" s="30"/>
      <c r="C47" s="23"/>
      <c r="D47" s="42" t="s">
        <v>16</v>
      </c>
      <c r="E47" s="41">
        <v>210844</v>
      </c>
      <c r="F47" s="41">
        <v>98339</v>
      </c>
      <c r="G47" s="41">
        <v>51072</v>
      </c>
      <c r="H47" s="41">
        <v>55402</v>
      </c>
      <c r="I47" s="41">
        <v>60192</v>
      </c>
      <c r="J47" s="41">
        <v>37364</v>
      </c>
      <c r="K47" s="20"/>
      <c r="L47" s="20"/>
      <c r="M47" s="41">
        <v>3448940</v>
      </c>
      <c r="N47" s="41">
        <v>900126</v>
      </c>
      <c r="O47" s="41">
        <v>758000</v>
      </c>
      <c r="P47" s="41">
        <v>338033</v>
      </c>
      <c r="Q47" s="41">
        <v>490439</v>
      </c>
      <c r="R47" s="41">
        <v>392476</v>
      </c>
      <c r="S47" s="20"/>
      <c r="T47" s="20"/>
      <c r="U47" s="41">
        <v>84557112</v>
      </c>
      <c r="V47" s="41">
        <v>35748103</v>
      </c>
      <c r="W47" s="41">
        <v>19696660</v>
      </c>
      <c r="X47" s="41">
        <v>19971229</v>
      </c>
      <c r="Y47" s="41">
        <v>19339192</v>
      </c>
      <c r="Z47" s="41">
        <v>20915508</v>
      </c>
      <c r="AA47" s="20"/>
      <c r="AB47" s="20"/>
      <c r="AC47" s="41">
        <v>1003438589</v>
      </c>
      <c r="AD47" s="41">
        <v>480375284</v>
      </c>
      <c r="AE47" s="41">
        <v>251254645</v>
      </c>
      <c r="AF47" s="41">
        <v>299716891</v>
      </c>
      <c r="AG47" s="41">
        <v>334876294</v>
      </c>
      <c r="AH47" s="43">
        <v>366695173</v>
      </c>
      <c r="AI47" s="21"/>
    </row>
    <row r="48" spans="2:35" x14ac:dyDescent="0.3">
      <c r="B48" s="30"/>
      <c r="C48" s="23"/>
      <c r="D48" s="42" t="s">
        <v>17</v>
      </c>
      <c r="E48" s="41">
        <v>216271</v>
      </c>
      <c r="F48" s="41">
        <v>97703</v>
      </c>
      <c r="G48" s="41">
        <v>49797</v>
      </c>
      <c r="H48" s="41">
        <v>43904</v>
      </c>
      <c r="I48" s="41">
        <v>42277</v>
      </c>
      <c r="J48" s="41">
        <v>47280</v>
      </c>
      <c r="K48" s="20"/>
      <c r="L48" s="20"/>
      <c r="M48" s="41">
        <v>4765203</v>
      </c>
      <c r="N48" s="41">
        <v>869156</v>
      </c>
      <c r="O48" s="41">
        <v>741572</v>
      </c>
      <c r="P48" s="41">
        <v>323690</v>
      </c>
      <c r="Q48" s="41">
        <v>428169</v>
      </c>
      <c r="R48" s="41">
        <v>436182</v>
      </c>
      <c r="S48" s="20"/>
      <c r="T48" s="20"/>
      <c r="U48" s="41">
        <v>70597597</v>
      </c>
      <c r="V48" s="41">
        <v>36269436</v>
      </c>
      <c r="W48" s="41">
        <v>18952381</v>
      </c>
      <c r="X48" s="41">
        <v>19062516</v>
      </c>
      <c r="Y48" s="41">
        <v>18229693</v>
      </c>
      <c r="Z48" s="41">
        <v>19577893</v>
      </c>
      <c r="AA48" s="20"/>
      <c r="AB48" s="20"/>
      <c r="AC48" s="41">
        <v>1004245152</v>
      </c>
      <c r="AD48" s="41">
        <v>475039463</v>
      </c>
      <c r="AE48" s="41">
        <v>247876241</v>
      </c>
      <c r="AF48" s="41">
        <v>287681628</v>
      </c>
      <c r="AG48" s="41">
        <v>337013235</v>
      </c>
      <c r="AH48" s="43">
        <v>372196599</v>
      </c>
      <c r="AI48" s="21"/>
    </row>
    <row r="49" spans="2:35" x14ac:dyDescent="0.3">
      <c r="B49" s="30"/>
      <c r="C49" s="23"/>
      <c r="D49" s="42" t="s">
        <v>18</v>
      </c>
      <c r="E49" s="41">
        <v>214820</v>
      </c>
      <c r="F49" s="41">
        <v>101366</v>
      </c>
      <c r="G49" s="41">
        <v>56086</v>
      </c>
      <c r="H49" s="41">
        <v>45835</v>
      </c>
      <c r="I49" s="41">
        <v>39029</v>
      </c>
      <c r="J49" s="41">
        <v>76322</v>
      </c>
      <c r="K49" s="20"/>
      <c r="L49" s="20"/>
      <c r="M49" s="41">
        <v>3647851</v>
      </c>
      <c r="N49" s="41">
        <v>962326</v>
      </c>
      <c r="O49" s="41">
        <v>1539781</v>
      </c>
      <c r="P49" s="41">
        <v>315528</v>
      </c>
      <c r="Q49" s="41">
        <v>401021</v>
      </c>
      <c r="R49" s="41">
        <v>385704</v>
      </c>
      <c r="S49" s="20"/>
      <c r="T49" s="20"/>
      <c r="U49" s="41">
        <v>82409461</v>
      </c>
      <c r="V49" s="41">
        <v>36103364</v>
      </c>
      <c r="W49" s="41">
        <v>20822748</v>
      </c>
      <c r="X49" s="41">
        <v>17883258</v>
      </c>
      <c r="Y49" s="41">
        <v>17763380</v>
      </c>
      <c r="Z49" s="41">
        <v>19221718</v>
      </c>
      <c r="AA49" s="20"/>
      <c r="AB49" s="20"/>
      <c r="AC49" s="41">
        <v>1021734270</v>
      </c>
      <c r="AD49" s="41">
        <v>476534561</v>
      </c>
      <c r="AE49" s="41">
        <v>243831937</v>
      </c>
      <c r="AF49" s="41">
        <v>280513346</v>
      </c>
      <c r="AG49" s="41">
        <v>358360002</v>
      </c>
      <c r="AH49" s="43">
        <v>377487024</v>
      </c>
      <c r="AI49" s="21"/>
    </row>
    <row r="50" spans="2:35" x14ac:dyDescent="0.3">
      <c r="B50" s="30"/>
      <c r="C50" s="23"/>
      <c r="D50" s="42" t="s">
        <v>19</v>
      </c>
      <c r="E50" s="41">
        <v>199742</v>
      </c>
      <c r="F50" s="41">
        <v>103155</v>
      </c>
      <c r="G50" s="41">
        <v>34060</v>
      </c>
      <c r="H50" s="41">
        <v>57077</v>
      </c>
      <c r="I50" s="41">
        <v>46642</v>
      </c>
      <c r="J50" s="41">
        <v>58736</v>
      </c>
      <c r="K50" s="20"/>
      <c r="L50" s="20"/>
      <c r="M50" s="41">
        <v>4112454</v>
      </c>
      <c r="N50" s="41">
        <v>1034053</v>
      </c>
      <c r="O50" s="41">
        <v>764927</v>
      </c>
      <c r="P50" s="41">
        <v>310490</v>
      </c>
      <c r="Q50" s="41">
        <v>344194</v>
      </c>
      <c r="R50" s="41">
        <v>417318</v>
      </c>
      <c r="S50" s="20"/>
      <c r="T50" s="20"/>
      <c r="U50" s="41">
        <v>72845509</v>
      </c>
      <c r="V50" s="41">
        <v>36892263</v>
      </c>
      <c r="W50" s="41">
        <v>20905228</v>
      </c>
      <c r="X50" s="41">
        <v>17854392</v>
      </c>
      <c r="Y50" s="41">
        <v>17693210</v>
      </c>
      <c r="Z50" s="41">
        <v>19492016</v>
      </c>
      <c r="AA50" s="20"/>
      <c r="AB50" s="20"/>
      <c r="AC50" s="41">
        <v>1002634371</v>
      </c>
      <c r="AD50" s="41">
        <v>473809915</v>
      </c>
      <c r="AE50" s="41">
        <v>245112535</v>
      </c>
      <c r="AF50" s="41">
        <v>286437278</v>
      </c>
      <c r="AG50" s="41">
        <v>344080249</v>
      </c>
      <c r="AH50" s="43">
        <v>377486253</v>
      </c>
      <c r="AI50" s="21"/>
    </row>
    <row r="51" spans="2:35" x14ac:dyDescent="0.3">
      <c r="B51" s="30"/>
      <c r="C51" s="23"/>
      <c r="D51" s="42" t="s">
        <v>20</v>
      </c>
      <c r="E51" s="41">
        <v>262036</v>
      </c>
      <c r="F51" s="41">
        <v>98598</v>
      </c>
      <c r="G51" s="41">
        <v>33972</v>
      </c>
      <c r="H51" s="41">
        <v>46293</v>
      </c>
      <c r="I51" s="41">
        <v>53387</v>
      </c>
      <c r="J51" s="41">
        <v>56304</v>
      </c>
      <c r="K51" s="20"/>
      <c r="L51" s="20"/>
      <c r="M51" s="41">
        <v>5950025</v>
      </c>
      <c r="N51" s="41">
        <v>907966</v>
      </c>
      <c r="O51" s="41">
        <v>673341</v>
      </c>
      <c r="P51" s="41">
        <v>305468</v>
      </c>
      <c r="Q51" s="41">
        <v>372486</v>
      </c>
      <c r="R51" s="41">
        <v>420571</v>
      </c>
      <c r="S51" s="20"/>
      <c r="T51" s="20"/>
      <c r="U51" s="41">
        <v>73352517</v>
      </c>
      <c r="V51" s="41">
        <v>36303913</v>
      </c>
      <c r="W51" s="41">
        <v>20511837</v>
      </c>
      <c r="X51" s="41">
        <v>19979751</v>
      </c>
      <c r="Y51" s="41">
        <v>19949168</v>
      </c>
      <c r="Z51" s="41">
        <v>18780376</v>
      </c>
      <c r="AA51" s="20"/>
      <c r="AB51" s="20"/>
      <c r="AC51" s="41">
        <v>1002833399</v>
      </c>
      <c r="AD51" s="41">
        <v>479080628</v>
      </c>
      <c r="AE51" s="41">
        <v>242558718</v>
      </c>
      <c r="AF51" s="41">
        <v>286230179</v>
      </c>
      <c r="AG51" s="41">
        <v>358725636</v>
      </c>
      <c r="AH51" s="43">
        <v>381241745</v>
      </c>
      <c r="AI51" s="21"/>
    </row>
    <row r="52" spans="2:35" x14ac:dyDescent="0.3">
      <c r="B52" s="30"/>
      <c r="C52" s="23"/>
      <c r="D52" s="42" t="s">
        <v>21</v>
      </c>
      <c r="E52" s="41">
        <v>216109</v>
      </c>
      <c r="F52" s="41">
        <v>99713</v>
      </c>
      <c r="G52" s="41">
        <v>61456</v>
      </c>
      <c r="H52" s="41">
        <v>84277</v>
      </c>
      <c r="I52" s="41">
        <v>58916</v>
      </c>
      <c r="J52" s="41">
        <v>70899</v>
      </c>
      <c r="K52" s="20"/>
      <c r="L52" s="20"/>
      <c r="M52" s="41">
        <v>5139723</v>
      </c>
      <c r="N52" s="41">
        <v>1003793</v>
      </c>
      <c r="O52" s="41">
        <v>559415</v>
      </c>
      <c r="P52" s="41">
        <v>298889</v>
      </c>
      <c r="Q52" s="41">
        <v>392507</v>
      </c>
      <c r="R52" s="41">
        <v>392377</v>
      </c>
      <c r="S52" s="20"/>
      <c r="T52" s="20"/>
      <c r="U52" s="41">
        <v>73262713</v>
      </c>
      <c r="V52" s="41">
        <v>36836177</v>
      </c>
      <c r="W52" s="41">
        <v>19983902</v>
      </c>
      <c r="X52" s="41">
        <v>20262561</v>
      </c>
      <c r="Y52" s="41">
        <v>16722275</v>
      </c>
      <c r="Z52" s="41">
        <v>20679263</v>
      </c>
      <c r="AA52" s="20"/>
      <c r="AB52" s="20"/>
      <c r="AC52" s="41">
        <v>1005658982</v>
      </c>
      <c r="AD52" s="41">
        <v>471734625</v>
      </c>
      <c r="AE52" s="41">
        <v>242611841</v>
      </c>
      <c r="AF52" s="41">
        <v>285352281</v>
      </c>
      <c r="AG52" s="41">
        <v>338526834</v>
      </c>
      <c r="AH52" s="43">
        <v>365295917</v>
      </c>
      <c r="AI52" s="21"/>
    </row>
    <row r="53" spans="2:35" x14ac:dyDescent="0.3">
      <c r="B53" s="30"/>
      <c r="C53" s="23"/>
      <c r="D53" s="42" t="s">
        <v>22</v>
      </c>
      <c r="E53" s="41">
        <v>241603</v>
      </c>
      <c r="F53" s="41">
        <v>98929</v>
      </c>
      <c r="G53" s="41">
        <v>70111</v>
      </c>
      <c r="H53" s="41">
        <v>52381</v>
      </c>
      <c r="I53" s="41">
        <v>43224</v>
      </c>
      <c r="J53" s="41">
        <v>59447</v>
      </c>
      <c r="K53" s="20"/>
      <c r="L53" s="20"/>
      <c r="M53" s="41">
        <v>2993736</v>
      </c>
      <c r="N53" s="41">
        <v>1039412</v>
      </c>
      <c r="O53" s="41">
        <v>553934</v>
      </c>
      <c r="P53" s="41">
        <v>319115</v>
      </c>
      <c r="Q53" s="41">
        <v>408351</v>
      </c>
      <c r="R53" s="41">
        <v>384172</v>
      </c>
      <c r="S53" s="20"/>
      <c r="T53" s="20"/>
      <c r="U53" s="41">
        <v>81759068</v>
      </c>
      <c r="V53" s="41">
        <v>36902405</v>
      </c>
      <c r="W53" s="41">
        <v>21144535</v>
      </c>
      <c r="X53" s="41">
        <v>19266773</v>
      </c>
      <c r="Y53" s="41">
        <v>17207083</v>
      </c>
      <c r="Z53" s="41">
        <v>19829496</v>
      </c>
      <c r="AA53" s="20"/>
      <c r="AB53" s="20"/>
      <c r="AC53" s="41">
        <v>995628122</v>
      </c>
      <c r="AD53" s="41">
        <v>475576059</v>
      </c>
      <c r="AE53" s="41">
        <v>243048019</v>
      </c>
      <c r="AF53" s="41">
        <v>280673099</v>
      </c>
      <c r="AG53" s="41">
        <v>338895572</v>
      </c>
      <c r="AH53" s="43">
        <v>359930217</v>
      </c>
      <c r="AI53" s="21"/>
    </row>
    <row r="54" spans="2:35" x14ac:dyDescent="0.3">
      <c r="B54" s="30"/>
      <c r="C54" s="23"/>
      <c r="D54" s="42" t="s">
        <v>23</v>
      </c>
      <c r="E54" s="41">
        <v>253305</v>
      </c>
      <c r="F54" s="41">
        <v>98899</v>
      </c>
      <c r="G54" s="41">
        <v>51353</v>
      </c>
      <c r="H54" s="41">
        <v>54969</v>
      </c>
      <c r="I54" s="41">
        <v>46395</v>
      </c>
      <c r="J54" s="41">
        <v>65475</v>
      </c>
      <c r="K54" s="20"/>
      <c r="L54" s="20"/>
      <c r="M54" s="41">
        <v>4551757</v>
      </c>
      <c r="N54" s="41">
        <v>1027483</v>
      </c>
      <c r="O54" s="41">
        <v>535328</v>
      </c>
      <c r="P54" s="41">
        <v>375960</v>
      </c>
      <c r="Q54" s="41">
        <v>376758</v>
      </c>
      <c r="R54" s="41">
        <v>419999</v>
      </c>
      <c r="S54" s="20"/>
      <c r="T54" s="20"/>
      <c r="U54" s="41">
        <v>82017208</v>
      </c>
      <c r="V54" s="41">
        <v>36714023</v>
      </c>
      <c r="W54" s="41">
        <v>18992325</v>
      </c>
      <c r="X54" s="41">
        <v>20281026</v>
      </c>
      <c r="Y54" s="41">
        <v>17804917</v>
      </c>
      <c r="Z54" s="41">
        <v>20825662</v>
      </c>
      <c r="AA54" s="20"/>
      <c r="AB54" s="20"/>
      <c r="AC54" s="41">
        <v>1008446863</v>
      </c>
      <c r="AD54" s="41">
        <v>477037639</v>
      </c>
      <c r="AE54" s="41">
        <v>246530366</v>
      </c>
      <c r="AF54" s="41">
        <v>302564362</v>
      </c>
      <c r="AG54" s="41">
        <v>333453375</v>
      </c>
      <c r="AH54" s="43">
        <v>374632938</v>
      </c>
      <c r="AI54" s="21"/>
    </row>
    <row r="55" spans="2:35" x14ac:dyDescent="0.3">
      <c r="B55" s="30"/>
      <c r="C55" s="23"/>
      <c r="D55" s="42" t="s">
        <v>24</v>
      </c>
      <c r="E55" s="41">
        <v>268998</v>
      </c>
      <c r="F55" s="41">
        <v>97511</v>
      </c>
      <c r="G55" s="41">
        <v>50547</v>
      </c>
      <c r="H55" s="41">
        <v>45847</v>
      </c>
      <c r="I55" s="41">
        <v>48629</v>
      </c>
      <c r="J55" s="41">
        <v>53169</v>
      </c>
      <c r="K55" s="20"/>
      <c r="L55" s="20"/>
      <c r="M55" s="41">
        <v>2204402</v>
      </c>
      <c r="N55" s="41">
        <v>966525</v>
      </c>
      <c r="O55" s="41">
        <v>428245</v>
      </c>
      <c r="P55" s="41">
        <v>449960</v>
      </c>
      <c r="Q55" s="41">
        <v>392199</v>
      </c>
      <c r="R55" s="41">
        <v>393166</v>
      </c>
      <c r="S55" s="20"/>
      <c r="T55" s="20"/>
      <c r="U55" s="41">
        <v>73760761</v>
      </c>
      <c r="V55" s="41">
        <v>36192366</v>
      </c>
      <c r="W55" s="41">
        <v>20450437</v>
      </c>
      <c r="X55" s="41">
        <v>19277118</v>
      </c>
      <c r="Y55" s="41">
        <v>16969011</v>
      </c>
      <c r="Z55" s="41">
        <v>20582105</v>
      </c>
      <c r="AA55" s="20"/>
      <c r="AB55" s="20"/>
      <c r="AC55" s="41">
        <v>1012591229</v>
      </c>
      <c r="AD55" s="41">
        <v>472116474</v>
      </c>
      <c r="AE55" s="41">
        <v>243989936</v>
      </c>
      <c r="AF55" s="41">
        <v>302802082</v>
      </c>
      <c r="AG55" s="41">
        <v>304440302</v>
      </c>
      <c r="AH55" s="43">
        <v>377479260</v>
      </c>
      <c r="AI55" s="21"/>
    </row>
    <row r="56" spans="2:35" x14ac:dyDescent="0.3">
      <c r="B56" s="30"/>
      <c r="C56" s="23"/>
      <c r="D56" s="42" t="s">
        <v>25</v>
      </c>
      <c r="E56" s="41">
        <v>253445</v>
      </c>
      <c r="F56" s="41">
        <v>98748</v>
      </c>
      <c r="G56" s="41">
        <v>52641</v>
      </c>
      <c r="H56" s="41">
        <v>51624</v>
      </c>
      <c r="I56" s="41">
        <v>58758</v>
      </c>
      <c r="J56" s="41">
        <v>53335</v>
      </c>
      <c r="K56" s="20"/>
      <c r="L56" s="20"/>
      <c r="M56" s="41">
        <v>2216299</v>
      </c>
      <c r="N56" s="41">
        <v>1018106</v>
      </c>
      <c r="O56" s="41">
        <v>693428</v>
      </c>
      <c r="P56" s="41">
        <v>333090</v>
      </c>
      <c r="Q56" s="41">
        <v>422896</v>
      </c>
      <c r="R56" s="41">
        <v>397145</v>
      </c>
      <c r="S56" s="20"/>
      <c r="T56" s="20"/>
      <c r="U56" s="41">
        <v>80354234</v>
      </c>
      <c r="V56" s="41">
        <v>36228692</v>
      </c>
      <c r="W56" s="41">
        <v>19786444</v>
      </c>
      <c r="X56" s="41">
        <v>20911470</v>
      </c>
      <c r="Y56" s="41">
        <v>19237310</v>
      </c>
      <c r="Z56" s="41">
        <v>20359839</v>
      </c>
      <c r="AA56" s="20"/>
      <c r="AB56" s="20"/>
      <c r="AC56" s="41">
        <v>997248087</v>
      </c>
      <c r="AD56" s="41">
        <v>472629238</v>
      </c>
      <c r="AE56" s="41">
        <v>242252737</v>
      </c>
      <c r="AF56" s="41">
        <v>283096335</v>
      </c>
      <c r="AG56" s="41">
        <v>329000306</v>
      </c>
      <c r="AH56" s="43">
        <v>362204485</v>
      </c>
      <c r="AI56" s="21"/>
    </row>
    <row r="57" spans="2:35" x14ac:dyDescent="0.3">
      <c r="B57" s="30"/>
      <c r="C57" s="23"/>
      <c r="D57" s="42" t="s">
        <v>26</v>
      </c>
      <c r="E57" s="41">
        <v>218653</v>
      </c>
      <c r="F57" s="41">
        <v>99842</v>
      </c>
      <c r="G57" s="41">
        <v>50841</v>
      </c>
      <c r="H57" s="41">
        <v>51615</v>
      </c>
      <c r="I57" s="41">
        <v>62596</v>
      </c>
      <c r="J57" s="41">
        <v>47375</v>
      </c>
      <c r="K57" s="20"/>
      <c r="L57" s="20"/>
      <c r="M57" s="41">
        <v>3257306</v>
      </c>
      <c r="N57" s="41">
        <v>1740077</v>
      </c>
      <c r="O57" s="41">
        <v>464078</v>
      </c>
      <c r="P57" s="41">
        <v>475531</v>
      </c>
      <c r="Q57" s="41">
        <v>378892</v>
      </c>
      <c r="R57" s="41">
        <v>381479</v>
      </c>
      <c r="S57" s="20"/>
      <c r="T57" s="20"/>
      <c r="U57" s="41">
        <v>82223549</v>
      </c>
      <c r="V57" s="41">
        <v>36789203</v>
      </c>
      <c r="W57" s="41">
        <v>20725572</v>
      </c>
      <c r="X57" s="41">
        <v>20633606</v>
      </c>
      <c r="Y57" s="41">
        <v>17849433</v>
      </c>
      <c r="Z57" s="41">
        <v>17667121</v>
      </c>
      <c r="AA57" s="20"/>
      <c r="AB57" s="20"/>
      <c r="AC57" s="41">
        <v>954973385</v>
      </c>
      <c r="AD57" s="41">
        <v>471661872</v>
      </c>
      <c r="AE57" s="41">
        <v>241123353</v>
      </c>
      <c r="AF57" s="41">
        <v>302361886</v>
      </c>
      <c r="AG57" s="41">
        <v>365647632</v>
      </c>
      <c r="AH57" s="43">
        <v>361436279</v>
      </c>
      <c r="AI57" s="21"/>
    </row>
    <row r="58" spans="2:35" x14ac:dyDescent="0.3">
      <c r="B58" s="30"/>
      <c r="C58" s="23"/>
      <c r="D58" s="42" t="s">
        <v>27</v>
      </c>
      <c r="E58" s="41">
        <v>226241</v>
      </c>
      <c r="F58" s="41">
        <v>97610</v>
      </c>
      <c r="G58" s="41">
        <v>54506</v>
      </c>
      <c r="H58" s="41">
        <v>50949</v>
      </c>
      <c r="I58" s="41">
        <v>54482</v>
      </c>
      <c r="J58" s="41">
        <v>82566</v>
      </c>
      <c r="K58" s="20"/>
      <c r="L58" s="20"/>
      <c r="M58" s="41">
        <v>2327557</v>
      </c>
      <c r="N58" s="41">
        <v>1158729</v>
      </c>
      <c r="O58" s="41">
        <v>558298</v>
      </c>
      <c r="P58" s="41">
        <v>362222</v>
      </c>
      <c r="Q58" s="41">
        <v>362557</v>
      </c>
      <c r="R58" s="41">
        <v>378718</v>
      </c>
      <c r="S58" s="20"/>
      <c r="T58" s="20"/>
      <c r="U58" s="41">
        <v>81756852</v>
      </c>
      <c r="V58" s="41">
        <v>36444062</v>
      </c>
      <c r="W58" s="41">
        <v>20781960</v>
      </c>
      <c r="X58" s="41">
        <v>19633929</v>
      </c>
      <c r="Y58" s="41">
        <v>19234180</v>
      </c>
      <c r="Z58" s="41">
        <v>18953190</v>
      </c>
      <c r="AA58" s="20"/>
      <c r="AB58" s="20"/>
      <c r="AC58" s="41">
        <v>947553111</v>
      </c>
      <c r="AD58" s="41">
        <v>469994283</v>
      </c>
      <c r="AE58" s="41">
        <v>243739258</v>
      </c>
      <c r="AF58" s="41">
        <v>283234864</v>
      </c>
      <c r="AG58" s="41">
        <v>363245524</v>
      </c>
      <c r="AH58" s="43">
        <v>345969062</v>
      </c>
      <c r="AI58" s="21"/>
    </row>
    <row r="59" spans="2:35" x14ac:dyDescent="0.3">
      <c r="B59" s="30"/>
      <c r="C59" s="23"/>
      <c r="D59" s="42" t="s">
        <v>28</v>
      </c>
      <c r="E59" s="41">
        <v>220601</v>
      </c>
      <c r="F59" s="41">
        <v>107972</v>
      </c>
      <c r="G59" s="41">
        <v>53878</v>
      </c>
      <c r="H59" s="41">
        <v>63137</v>
      </c>
      <c r="I59" s="41">
        <v>45913</v>
      </c>
      <c r="J59" s="41">
        <v>69600</v>
      </c>
      <c r="K59" s="20"/>
      <c r="L59" s="20"/>
      <c r="M59" s="41">
        <v>2347231</v>
      </c>
      <c r="N59" s="41">
        <v>876672</v>
      </c>
      <c r="O59" s="41">
        <v>511112</v>
      </c>
      <c r="P59" s="41">
        <v>425808</v>
      </c>
      <c r="Q59" s="41">
        <v>381719</v>
      </c>
      <c r="R59" s="41">
        <v>398739</v>
      </c>
      <c r="S59" s="20"/>
      <c r="T59" s="20"/>
      <c r="U59" s="41">
        <v>73514257</v>
      </c>
      <c r="V59" s="41">
        <v>37501647</v>
      </c>
      <c r="W59" s="41">
        <v>20648594</v>
      </c>
      <c r="X59" s="41">
        <v>20091876</v>
      </c>
      <c r="Y59" s="41">
        <v>18092633</v>
      </c>
      <c r="Z59" s="41">
        <v>19554348</v>
      </c>
      <c r="AA59" s="20"/>
      <c r="AB59" s="20"/>
      <c r="AC59" s="41">
        <v>1019497198</v>
      </c>
      <c r="AD59" s="41">
        <v>472497050</v>
      </c>
      <c r="AE59" s="41">
        <v>242906284</v>
      </c>
      <c r="AF59" s="41">
        <v>282738301</v>
      </c>
      <c r="AG59" s="41">
        <v>344054798</v>
      </c>
      <c r="AH59" s="43">
        <v>355970402</v>
      </c>
      <c r="AI59" s="21"/>
    </row>
    <row r="60" spans="2:35" x14ac:dyDescent="0.3">
      <c r="B60" s="30"/>
      <c r="C60" s="23"/>
      <c r="D60" s="42" t="s">
        <v>29</v>
      </c>
      <c r="E60" s="41">
        <v>211703</v>
      </c>
      <c r="F60" s="41">
        <v>114845</v>
      </c>
      <c r="G60" s="41">
        <v>51501</v>
      </c>
      <c r="H60" s="41">
        <v>55606</v>
      </c>
      <c r="I60" s="41">
        <v>42228</v>
      </c>
      <c r="J60" s="41">
        <v>37032</v>
      </c>
      <c r="K60" s="20"/>
      <c r="L60" s="20"/>
      <c r="M60" s="41">
        <v>2582483</v>
      </c>
      <c r="N60" s="41">
        <v>745704</v>
      </c>
      <c r="O60" s="41">
        <v>471524</v>
      </c>
      <c r="P60" s="41">
        <v>367708</v>
      </c>
      <c r="Q60" s="41">
        <v>327769</v>
      </c>
      <c r="R60" s="41">
        <v>397942</v>
      </c>
      <c r="S60" s="20"/>
      <c r="T60" s="20"/>
      <c r="U60" s="41">
        <v>81615375</v>
      </c>
      <c r="V60" s="41">
        <v>36222635</v>
      </c>
      <c r="W60" s="41">
        <v>19114273</v>
      </c>
      <c r="X60" s="41">
        <v>18153251</v>
      </c>
      <c r="Y60" s="41">
        <v>18498942</v>
      </c>
      <c r="Z60" s="41">
        <v>19477370</v>
      </c>
      <c r="AA60" s="20"/>
      <c r="AB60" s="20"/>
      <c r="AC60" s="41">
        <v>1003437689</v>
      </c>
      <c r="AD60" s="41">
        <v>469697886</v>
      </c>
      <c r="AE60" s="41">
        <v>245636232</v>
      </c>
      <c r="AF60" s="41">
        <v>300771507</v>
      </c>
      <c r="AG60" s="41">
        <v>338657458</v>
      </c>
      <c r="AH60" s="43">
        <v>381068234</v>
      </c>
      <c r="AI60" s="21"/>
    </row>
    <row r="61" spans="2:35" x14ac:dyDescent="0.3">
      <c r="B61" s="30"/>
      <c r="C61" s="23"/>
      <c r="D61" s="42" t="s">
        <v>30</v>
      </c>
      <c r="E61" s="41">
        <v>211815</v>
      </c>
      <c r="F61" s="41">
        <v>95808</v>
      </c>
      <c r="G61" s="41">
        <v>57227</v>
      </c>
      <c r="H61" s="41">
        <v>50195</v>
      </c>
      <c r="I61" s="41">
        <v>41943</v>
      </c>
      <c r="J61" s="41">
        <v>71020</v>
      </c>
      <c r="K61" s="20"/>
      <c r="L61" s="20"/>
      <c r="M61" s="41">
        <v>2010058</v>
      </c>
      <c r="N61" s="41">
        <v>942266</v>
      </c>
      <c r="O61" s="41">
        <v>490844</v>
      </c>
      <c r="P61" s="41">
        <v>519156</v>
      </c>
      <c r="Q61" s="41">
        <v>367825</v>
      </c>
      <c r="R61" s="41">
        <v>409350</v>
      </c>
      <c r="S61" s="20"/>
      <c r="T61" s="20"/>
      <c r="U61" s="41">
        <v>73533130</v>
      </c>
      <c r="V61" s="41">
        <v>36644217</v>
      </c>
      <c r="W61" s="41">
        <v>20045929</v>
      </c>
      <c r="X61" s="41">
        <v>18454096</v>
      </c>
      <c r="Y61" s="41">
        <v>19410019</v>
      </c>
      <c r="Z61" s="41">
        <v>19054778</v>
      </c>
      <c r="AA61" s="20"/>
      <c r="AB61" s="20"/>
      <c r="AC61" s="41">
        <v>1222487828</v>
      </c>
      <c r="AD61" s="41">
        <v>470815125</v>
      </c>
      <c r="AE61" s="41">
        <v>244300401</v>
      </c>
      <c r="AF61" s="41">
        <v>286056650</v>
      </c>
      <c r="AG61" s="41">
        <v>300082253</v>
      </c>
      <c r="AH61" s="43">
        <v>384620778</v>
      </c>
      <c r="AI61" s="21"/>
    </row>
    <row r="62" spans="2:35" x14ac:dyDescent="0.3">
      <c r="B62" s="30"/>
      <c r="C62" s="23"/>
      <c r="D62" s="42" t="s">
        <v>31</v>
      </c>
      <c r="E62" s="41">
        <v>221596</v>
      </c>
      <c r="F62" s="41">
        <v>104034</v>
      </c>
      <c r="G62" s="41">
        <v>51786</v>
      </c>
      <c r="H62" s="41">
        <v>74202</v>
      </c>
      <c r="I62" s="41">
        <v>51172</v>
      </c>
      <c r="J62" s="41">
        <v>65499</v>
      </c>
      <c r="K62" s="20"/>
      <c r="L62" s="20"/>
      <c r="M62" s="41">
        <v>2375099</v>
      </c>
      <c r="N62" s="41">
        <v>928623</v>
      </c>
      <c r="O62" s="41">
        <v>430870</v>
      </c>
      <c r="P62" s="41">
        <v>342726</v>
      </c>
      <c r="Q62" s="41">
        <v>401293</v>
      </c>
      <c r="R62" s="41">
        <v>428900</v>
      </c>
      <c r="S62" s="20"/>
      <c r="T62" s="20"/>
      <c r="U62" s="41">
        <v>84003159</v>
      </c>
      <c r="V62" s="41">
        <v>35916899</v>
      </c>
      <c r="W62" s="41">
        <v>20440383</v>
      </c>
      <c r="X62" s="41">
        <v>20586849</v>
      </c>
      <c r="Y62" s="41">
        <v>16980999</v>
      </c>
      <c r="Z62" s="41">
        <v>18692333</v>
      </c>
      <c r="AA62" s="20"/>
      <c r="AB62" s="20"/>
      <c r="AC62" s="41">
        <v>1024229131</v>
      </c>
      <c r="AD62" s="41">
        <v>471368888</v>
      </c>
      <c r="AE62" s="41">
        <v>245258437</v>
      </c>
      <c r="AF62" s="41">
        <v>303604569</v>
      </c>
      <c r="AG62" s="41">
        <v>372586683</v>
      </c>
      <c r="AH62" s="43">
        <v>387358493</v>
      </c>
      <c r="AI62" s="21"/>
    </row>
    <row r="63" spans="2:35" x14ac:dyDescent="0.3">
      <c r="B63" s="30"/>
      <c r="C63" s="23"/>
      <c r="D63" s="42" t="s">
        <v>32</v>
      </c>
      <c r="E63" s="41">
        <v>206539</v>
      </c>
      <c r="F63" s="41">
        <v>96542</v>
      </c>
      <c r="G63" s="41">
        <v>51112</v>
      </c>
      <c r="H63" s="41">
        <v>69353</v>
      </c>
      <c r="I63" s="41">
        <v>53158</v>
      </c>
      <c r="J63" s="41">
        <v>57589</v>
      </c>
      <c r="K63" s="20"/>
      <c r="L63" s="20"/>
      <c r="M63" s="41">
        <v>1602851</v>
      </c>
      <c r="N63" s="41">
        <v>1057030</v>
      </c>
      <c r="O63" s="41">
        <v>448092</v>
      </c>
      <c r="P63" s="41">
        <v>356262</v>
      </c>
      <c r="Q63" s="41">
        <v>354981</v>
      </c>
      <c r="R63" s="41">
        <v>434427</v>
      </c>
      <c r="S63" s="20"/>
      <c r="T63" s="20"/>
      <c r="U63" s="41">
        <v>82007242</v>
      </c>
      <c r="V63" s="41">
        <v>36875479</v>
      </c>
      <c r="W63" s="41">
        <v>20985521</v>
      </c>
      <c r="X63" s="41">
        <v>18114361</v>
      </c>
      <c r="Y63" s="41">
        <v>16526345</v>
      </c>
      <c r="Z63" s="41">
        <v>19431294</v>
      </c>
      <c r="AA63" s="20"/>
      <c r="AB63" s="20"/>
      <c r="AC63" s="41">
        <v>975168696</v>
      </c>
      <c r="AD63" s="41">
        <v>471936592</v>
      </c>
      <c r="AE63" s="41">
        <v>244964050</v>
      </c>
      <c r="AF63" s="41">
        <v>299644808</v>
      </c>
      <c r="AG63" s="41">
        <v>365830809</v>
      </c>
      <c r="AH63" s="43">
        <v>357769343</v>
      </c>
      <c r="AI63" s="21"/>
    </row>
    <row r="64" spans="2:35" x14ac:dyDescent="0.3">
      <c r="B64" s="30"/>
      <c r="C64" s="23"/>
      <c r="D64" s="42" t="s">
        <v>33</v>
      </c>
      <c r="E64" s="41">
        <v>214541</v>
      </c>
      <c r="F64" s="41">
        <v>99345</v>
      </c>
      <c r="G64" s="41">
        <v>52724</v>
      </c>
      <c r="H64" s="41">
        <v>57744</v>
      </c>
      <c r="I64" s="41">
        <v>50909</v>
      </c>
      <c r="J64" s="41">
        <v>62425</v>
      </c>
      <c r="K64" s="20"/>
      <c r="L64" s="20"/>
      <c r="M64" s="41">
        <v>1823641</v>
      </c>
      <c r="N64" s="41">
        <v>973798</v>
      </c>
      <c r="O64" s="41">
        <v>572772</v>
      </c>
      <c r="P64" s="41">
        <v>338999</v>
      </c>
      <c r="Q64" s="41">
        <v>449658</v>
      </c>
      <c r="R64" s="41">
        <v>418982</v>
      </c>
      <c r="S64" s="20"/>
      <c r="T64" s="20"/>
      <c r="U64" s="41">
        <v>84544019</v>
      </c>
      <c r="V64" s="41">
        <v>36494795</v>
      </c>
      <c r="W64" s="41">
        <v>19951326</v>
      </c>
      <c r="X64" s="41">
        <v>19991236</v>
      </c>
      <c r="Y64" s="41">
        <v>18441386</v>
      </c>
      <c r="Z64" s="41">
        <v>18946569</v>
      </c>
      <c r="AA64" s="20"/>
      <c r="AB64" s="20"/>
      <c r="AC64" s="41">
        <v>998649916</v>
      </c>
      <c r="AD64" s="41">
        <v>470633902</v>
      </c>
      <c r="AE64" s="41">
        <v>246136765</v>
      </c>
      <c r="AF64" s="41">
        <v>302447065</v>
      </c>
      <c r="AG64" s="41">
        <v>340499081</v>
      </c>
      <c r="AH64" s="43">
        <v>383949872</v>
      </c>
      <c r="AI64" s="21"/>
    </row>
    <row r="65" spans="2:35" x14ac:dyDescent="0.3">
      <c r="B65" s="30"/>
      <c r="C65" s="23"/>
      <c r="D65" s="42" t="s">
        <v>34</v>
      </c>
      <c r="E65" s="41">
        <v>235475</v>
      </c>
      <c r="F65" s="41">
        <v>97371</v>
      </c>
      <c r="G65" s="41">
        <v>50081</v>
      </c>
      <c r="H65" s="41">
        <v>58237</v>
      </c>
      <c r="I65" s="41">
        <v>61168</v>
      </c>
      <c r="J65" s="41">
        <v>56939</v>
      </c>
      <c r="K65" s="20"/>
      <c r="L65" s="20"/>
      <c r="M65" s="41">
        <v>2414508</v>
      </c>
      <c r="N65" s="41">
        <v>729088</v>
      </c>
      <c r="O65" s="41">
        <v>441494</v>
      </c>
      <c r="P65" s="41">
        <v>322254</v>
      </c>
      <c r="Q65" s="41">
        <v>408259</v>
      </c>
      <c r="R65" s="41">
        <v>407974</v>
      </c>
      <c r="S65" s="20"/>
      <c r="T65" s="20"/>
      <c r="U65" s="41">
        <v>73601349</v>
      </c>
      <c r="V65" s="41">
        <v>36032068</v>
      </c>
      <c r="W65" s="41">
        <v>20618330</v>
      </c>
      <c r="X65" s="41">
        <v>20682971</v>
      </c>
      <c r="Y65" s="41">
        <v>17725241</v>
      </c>
      <c r="Z65" s="41">
        <v>20036594</v>
      </c>
      <c r="AA65" s="20"/>
      <c r="AB65" s="20"/>
      <c r="AC65" s="41">
        <v>1023916388</v>
      </c>
      <c r="AD65" s="41">
        <v>473560223</v>
      </c>
      <c r="AE65" s="41">
        <v>244054772</v>
      </c>
      <c r="AF65" s="41">
        <v>307709177</v>
      </c>
      <c r="AG65" s="41">
        <v>362923343</v>
      </c>
      <c r="AH65" s="43">
        <v>377691501</v>
      </c>
      <c r="AI65" s="21"/>
    </row>
    <row r="66" spans="2:35" x14ac:dyDescent="0.3">
      <c r="B66" s="30"/>
      <c r="C66" s="23"/>
      <c r="D66" s="42" t="s">
        <v>35</v>
      </c>
      <c r="E66" s="41">
        <v>225274</v>
      </c>
      <c r="F66" s="41">
        <v>99264</v>
      </c>
      <c r="G66" s="41">
        <v>50364</v>
      </c>
      <c r="H66" s="41">
        <v>72586</v>
      </c>
      <c r="I66" s="41">
        <v>40259</v>
      </c>
      <c r="J66" s="41">
        <v>48685</v>
      </c>
      <c r="K66" s="20"/>
      <c r="L66" s="20"/>
      <c r="M66" s="41">
        <v>1936529</v>
      </c>
      <c r="N66" s="41">
        <v>931456</v>
      </c>
      <c r="O66" s="41">
        <v>420756</v>
      </c>
      <c r="P66" s="41">
        <v>469063</v>
      </c>
      <c r="Q66" s="41">
        <v>362338</v>
      </c>
      <c r="R66" s="41">
        <v>408162</v>
      </c>
      <c r="S66" s="20"/>
      <c r="T66" s="20"/>
      <c r="U66" s="41">
        <v>81860446</v>
      </c>
      <c r="V66" s="41">
        <v>37772944</v>
      </c>
      <c r="W66" s="41">
        <v>19341813</v>
      </c>
      <c r="X66" s="41">
        <v>20457489</v>
      </c>
      <c r="Y66" s="41">
        <v>17124604</v>
      </c>
      <c r="Z66" s="41">
        <v>18386300</v>
      </c>
      <c r="AA66" s="20"/>
      <c r="AB66" s="20"/>
      <c r="AC66" s="41">
        <v>983098623</v>
      </c>
      <c r="AD66" s="41">
        <v>472187339</v>
      </c>
      <c r="AE66" s="41">
        <v>246972005</v>
      </c>
      <c r="AF66" s="41">
        <v>293428199</v>
      </c>
      <c r="AG66" s="41">
        <v>370300658</v>
      </c>
      <c r="AH66" s="43">
        <v>376422329</v>
      </c>
      <c r="AI66" s="21"/>
    </row>
    <row r="67" spans="2:35" x14ac:dyDescent="0.3">
      <c r="B67" s="30"/>
      <c r="C67" s="23"/>
      <c r="D67" s="42" t="s">
        <v>36</v>
      </c>
      <c r="E67" s="41">
        <v>208311</v>
      </c>
      <c r="F67" s="41">
        <v>100140</v>
      </c>
      <c r="G67" s="41">
        <v>57143</v>
      </c>
      <c r="H67" s="41">
        <v>79557</v>
      </c>
      <c r="I67" s="41">
        <v>41774</v>
      </c>
      <c r="J67" s="41">
        <v>36802</v>
      </c>
      <c r="K67" s="20"/>
      <c r="L67" s="20"/>
      <c r="M67" s="41">
        <v>1643185</v>
      </c>
      <c r="N67" s="41">
        <v>912458</v>
      </c>
      <c r="O67" s="41">
        <v>525347</v>
      </c>
      <c r="P67" s="41">
        <v>413671</v>
      </c>
      <c r="Q67" s="41">
        <v>451453</v>
      </c>
      <c r="R67" s="41">
        <v>377318</v>
      </c>
      <c r="S67" s="20"/>
      <c r="T67" s="20"/>
      <c r="U67" s="41">
        <v>74796192</v>
      </c>
      <c r="V67" s="41">
        <v>36268171</v>
      </c>
      <c r="W67" s="41">
        <v>21712453</v>
      </c>
      <c r="X67" s="41">
        <v>18583176</v>
      </c>
      <c r="Y67" s="41">
        <v>19702328</v>
      </c>
      <c r="Z67" s="41">
        <v>20566784</v>
      </c>
      <c r="AA67" s="20"/>
      <c r="AB67" s="20"/>
      <c r="AC67" s="41">
        <v>978283546</v>
      </c>
      <c r="AD67" s="41">
        <v>472548108</v>
      </c>
      <c r="AE67" s="41">
        <v>244892930</v>
      </c>
      <c r="AF67" s="41">
        <v>294926099</v>
      </c>
      <c r="AG67" s="41">
        <v>361298871</v>
      </c>
      <c r="AH67" s="43">
        <v>377598876</v>
      </c>
      <c r="AI67" s="21"/>
    </row>
    <row r="68" spans="2:35" x14ac:dyDescent="0.3">
      <c r="B68" s="30"/>
      <c r="C68" s="23"/>
      <c r="D68" s="42" t="s">
        <v>37</v>
      </c>
      <c r="E68" s="41">
        <v>202796</v>
      </c>
      <c r="F68" s="41">
        <v>99972</v>
      </c>
      <c r="G68" s="41">
        <v>50979</v>
      </c>
      <c r="H68" s="41">
        <v>53449</v>
      </c>
      <c r="I68" s="41">
        <v>69430</v>
      </c>
      <c r="J68" s="41">
        <v>55594</v>
      </c>
      <c r="K68" s="20"/>
      <c r="L68" s="20"/>
      <c r="M68" s="41">
        <v>1505824</v>
      </c>
      <c r="N68" s="41">
        <v>893926</v>
      </c>
      <c r="O68" s="41">
        <v>412100</v>
      </c>
      <c r="P68" s="41">
        <v>337944</v>
      </c>
      <c r="Q68" s="41">
        <v>502814</v>
      </c>
      <c r="R68" s="41">
        <v>412850</v>
      </c>
      <c r="S68" s="20"/>
      <c r="T68" s="20"/>
      <c r="U68" s="41">
        <v>73260141</v>
      </c>
      <c r="V68" s="41">
        <v>36064234</v>
      </c>
      <c r="W68" s="41">
        <v>19926435</v>
      </c>
      <c r="X68" s="41">
        <v>19824401</v>
      </c>
      <c r="Y68" s="41">
        <v>18482072</v>
      </c>
      <c r="Z68" s="41">
        <v>19350535</v>
      </c>
      <c r="AA68" s="20"/>
      <c r="AB68" s="20"/>
      <c r="AC68" s="41">
        <v>989363899</v>
      </c>
      <c r="AD68" s="41">
        <v>471447065</v>
      </c>
      <c r="AE68" s="41">
        <v>251053989</v>
      </c>
      <c r="AF68" s="41">
        <v>294353856</v>
      </c>
      <c r="AG68" s="41">
        <v>366070020</v>
      </c>
      <c r="AH68" s="43">
        <v>373307945</v>
      </c>
      <c r="AI68" s="21"/>
    </row>
    <row r="69" spans="2:35" x14ac:dyDescent="0.3">
      <c r="B69" s="30"/>
      <c r="C69" s="23"/>
      <c r="D69" s="42" t="s">
        <v>38</v>
      </c>
      <c r="E69" s="41">
        <v>219443</v>
      </c>
      <c r="F69" s="41">
        <v>99805</v>
      </c>
      <c r="G69" s="41">
        <v>59283</v>
      </c>
      <c r="H69" s="41">
        <v>50721</v>
      </c>
      <c r="I69" s="41">
        <v>46997</v>
      </c>
      <c r="J69" s="41">
        <v>48889</v>
      </c>
      <c r="K69" s="20"/>
      <c r="L69" s="20"/>
      <c r="M69" s="41">
        <v>1622048</v>
      </c>
      <c r="N69" s="41">
        <v>970450</v>
      </c>
      <c r="O69" s="41">
        <v>398969</v>
      </c>
      <c r="P69" s="41">
        <v>448996</v>
      </c>
      <c r="Q69" s="41">
        <v>600113</v>
      </c>
      <c r="R69" s="41">
        <v>379419</v>
      </c>
      <c r="S69" s="20"/>
      <c r="T69" s="20"/>
      <c r="U69" s="41">
        <v>82515966</v>
      </c>
      <c r="V69" s="41">
        <v>36500553</v>
      </c>
      <c r="W69" s="41">
        <v>20112101</v>
      </c>
      <c r="X69" s="41">
        <v>19798261</v>
      </c>
      <c r="Y69" s="41">
        <v>18959252</v>
      </c>
      <c r="Z69" s="41">
        <v>20442506</v>
      </c>
      <c r="AA69" s="20"/>
      <c r="AB69" s="20"/>
      <c r="AC69" s="41">
        <v>983382819</v>
      </c>
      <c r="AD69" s="41">
        <v>469322702</v>
      </c>
      <c r="AE69" s="41">
        <v>247682100</v>
      </c>
      <c r="AF69" s="41">
        <v>311016718</v>
      </c>
      <c r="AG69" s="41">
        <v>359260327</v>
      </c>
      <c r="AH69" s="43">
        <v>434462174</v>
      </c>
      <c r="AI69" s="21"/>
    </row>
    <row r="70" spans="2:35" x14ac:dyDescent="0.3">
      <c r="B70" s="30"/>
      <c r="C70" s="23"/>
      <c r="D70" s="42" t="s">
        <v>39</v>
      </c>
      <c r="E70" s="41">
        <v>210907</v>
      </c>
      <c r="F70" s="41">
        <v>97657</v>
      </c>
      <c r="G70" s="41">
        <v>51341</v>
      </c>
      <c r="H70" s="41">
        <v>57579</v>
      </c>
      <c r="I70" s="41">
        <v>65248</v>
      </c>
      <c r="J70" s="41">
        <v>52762</v>
      </c>
      <c r="K70" s="20"/>
      <c r="L70" s="20"/>
      <c r="M70" s="41">
        <v>1566469</v>
      </c>
      <c r="N70" s="41">
        <v>806923</v>
      </c>
      <c r="O70" s="41">
        <v>382548</v>
      </c>
      <c r="P70" s="41">
        <v>428020</v>
      </c>
      <c r="Q70" s="41">
        <v>338024</v>
      </c>
      <c r="R70" s="41">
        <v>395352</v>
      </c>
      <c r="S70" s="20"/>
      <c r="T70" s="20"/>
      <c r="U70" s="41">
        <v>84797806</v>
      </c>
      <c r="V70" s="41">
        <v>36647289</v>
      </c>
      <c r="W70" s="41">
        <v>20040818</v>
      </c>
      <c r="X70" s="41">
        <v>18495363</v>
      </c>
      <c r="Y70" s="41">
        <v>17667625</v>
      </c>
      <c r="Z70" s="41">
        <v>18960868</v>
      </c>
      <c r="AA70" s="20"/>
      <c r="AB70" s="20"/>
      <c r="AC70" s="41">
        <v>986285718</v>
      </c>
      <c r="AD70" s="41">
        <v>471857883</v>
      </c>
      <c r="AE70" s="41">
        <v>244545981</v>
      </c>
      <c r="AF70" s="41">
        <v>292631861</v>
      </c>
      <c r="AG70" s="41">
        <v>362997365</v>
      </c>
      <c r="AH70" s="43">
        <v>441456457</v>
      </c>
      <c r="AI70" s="21"/>
    </row>
    <row r="71" spans="2:35" ht="15" thickBot="1" x14ac:dyDescent="0.35">
      <c r="B71" s="30"/>
      <c r="C71" s="24"/>
      <c r="D71" s="37" t="s">
        <v>44</v>
      </c>
      <c r="E71" s="25" cm="1">
        <f t="array" ref="E71">ROUND(AVERAGE(IF((ISNUMBER(E41:E70))*(E41:E70&lt;LARGE(E41:E70,2))*(E41:E70&gt;SMALL(E41:E70,2)),E41:E70)),0)</f>
        <v>220707</v>
      </c>
      <c r="F71" s="25" cm="1">
        <f t="array" ref="F71">ROUND(AVERAGE(IF((ISNUMBER(F41:F70))*(F41:F70&lt;LARGE(F41:F70,2))*(F41:F70&gt;SMALL(F41:F70,2)),F41:F70)),0)</f>
        <v>99903</v>
      </c>
      <c r="G71" s="25" cm="1">
        <f t="array" ref="G71">ROUND(AVERAGE(IF((ISNUMBER(G41:G70))*(G41:G70&lt;LARGE(G41:G70,2))*(G41:G70&gt;SMALL(G41:G70,2)),G41:G70)),0)</f>
        <v>52417</v>
      </c>
      <c r="H71" s="25" cm="1">
        <f t="array" ref="H71">ROUND(AVERAGE(IF((ISNUMBER(H41:H70))*(H41:H70&lt;LARGE(H41:H70,2))*(H41:H70&gt;SMALL(H41:H70,2)),H41:H70)),0)</f>
        <v>56827</v>
      </c>
      <c r="I71" s="25" cm="1">
        <f t="array" ref="I71">ROUND(AVERAGE(IF((ISNUMBER(I41:I70))*(I41:I70&lt;LARGE(I41:I70,2))*(I41:I70&gt;SMALL(I41:I70,2)),I41:I70)),0)</f>
        <v>50652</v>
      </c>
      <c r="J71" s="25" cm="1">
        <f t="array" ref="J71">ROUND(AVERAGE(IF((ISNUMBER(J41:J70))*(J41:J70&lt;LARGE(J41:J70,2))*(J41:J70&gt;SMALL(J41:J70,2)),J41:J70)),0)</f>
        <v>57061</v>
      </c>
      <c r="K71" s="25"/>
      <c r="L71" s="25"/>
      <c r="M71" s="25" cm="1">
        <f t="array" ref="M71">ROUND(AVERAGE(IF((ISNUMBER(M41:M70))*(M41:M70&lt;LARGE(M41:M70,2))*(M41:M70&gt;SMALL(M41:M70,2)),M41:M70)),0)</f>
        <v>3128690</v>
      </c>
      <c r="N71" s="25" cm="1">
        <f t="array" ref="N71">ROUND(AVERAGE(IF((ISNUMBER(N41:N70))*(N41:N70&lt;LARGE(N41:N70,2))*(N41:N70&gt;SMALL(N41:N70,2)),N41:N70)),0)</f>
        <v>954752</v>
      </c>
      <c r="O71" s="25" cm="1">
        <f t="array" ref="O71">ROUND(AVERAGE(IF((ISNUMBER(O41:O70))*(O41:O70&lt;LARGE(O41:O70,2))*(O41:O70&gt;SMALL(O41:O70,2)),O41:O70)),0)</f>
        <v>581796</v>
      </c>
      <c r="P71" s="25" cm="1">
        <f t="array" ref="P71">ROUND(AVERAGE(IF((ISNUMBER(P41:P70))*(P41:P70&lt;LARGE(P41:P70,2))*(P41:P70&gt;SMALL(P41:P70,2)),P41:P70)),0)</f>
        <v>375191</v>
      </c>
      <c r="Q71" s="25" cm="1">
        <f t="array" ref="Q71">ROUND(AVERAGE(IF((ISNUMBER(Q41:Q70))*(Q41:Q70&lt;LARGE(Q41:Q70,2))*(Q41:Q70&gt;SMALL(Q41:Q70,2)),Q41:Q70)),0)</f>
        <v>412981</v>
      </c>
      <c r="R71" s="25" cm="1">
        <f t="array" ref="R71">ROUND(AVERAGE(IF((ISNUMBER(R41:R70))*(R41:R70&lt;LARGE(R41:R70,2))*(R41:R70&gt;SMALL(R41:R70,2)),R41:R70)),0)</f>
        <v>403924</v>
      </c>
      <c r="S71" s="25"/>
      <c r="T71" s="25"/>
      <c r="U71" s="25" cm="1">
        <f t="array" ref="U71">ROUND(AVERAGE(IF((ISNUMBER(U41:U70))*(U41:U70&lt;LARGE(U41:U70,2))*(U41:U70&gt;SMALL(U41:U70,2)),U41:U70)),0)</f>
        <v>79012453</v>
      </c>
      <c r="V71" s="25" cm="1">
        <f t="array" ref="V71">ROUND(AVERAGE(IF((ISNUMBER(V41:V70))*(V41:V70&lt;LARGE(V41:V70,2))*(V41:V70&gt;SMALL(V41:V70,2)),V41:V70)),0)</f>
        <v>36413847</v>
      </c>
      <c r="W71" s="25" cm="1">
        <f t="array" ref="W71">ROUND(AVERAGE(IF((ISNUMBER(W41:W70))*(W41:W70&lt;LARGE(W41:W70,2))*(W41:W70&gt;SMALL(W41:W70,2)),W41:W70)),0)</f>
        <v>20144878</v>
      </c>
      <c r="X71" s="25" cm="1">
        <f t="array" ref="X71">ROUND(AVERAGE(IF((ISNUMBER(X41:X70))*(X41:X70&lt;LARGE(X41:X70,2))*(X41:X70&gt;SMALL(X41:X70,2)),X41:X70)),0)</f>
        <v>19217030</v>
      </c>
      <c r="Y71" s="25" cm="1">
        <f t="array" ref="Y71">ROUND(AVERAGE(IF((ISNUMBER(Y41:Y70))*(Y41:Y70&lt;LARGE(Y41:Y70,2))*(Y41:Y70&gt;SMALL(Y41:Y70,2)),Y41:Y70)),0)</f>
        <v>18028655</v>
      </c>
      <c r="Z71" s="25" cm="1">
        <f t="array" ref="Z71">ROUND(AVERAGE(IF((ISNUMBER(Z41:Z70))*(Z41:Z70&lt;LARGE(Z41:Z70,2))*(Z41:Z70&gt;SMALL(Z41:Z70,2)),Z41:Z70)),0)</f>
        <v>19626614</v>
      </c>
      <c r="AA71" s="25"/>
      <c r="AB71" s="25"/>
      <c r="AC71" s="25" cm="1">
        <f t="array" ref="AC71">ROUND(AVERAGE(IF((ISNUMBER(AC41:AC70))*(AC41:AC70&lt;LARGE(AC41:AC70,2))*(AC41:AC70&gt;SMALL(AC41:AC70,2)),AC41:AC70)),0)</f>
        <v>1001964683</v>
      </c>
      <c r="AD71" s="25" cm="1">
        <f t="array" ref="AD71">ROUND(AVERAGE(IF((ISNUMBER(AD41:AD70))*(AD41:AD70&lt;LARGE(AD41:AD70,2))*(AD41:AD70&gt;SMALL(AD41:AD70,2)),AD41:AD70)),0)</f>
        <v>473165570</v>
      </c>
      <c r="AE71" s="25" cm="1">
        <f t="array" ref="AE71">ROUND(AVERAGE(IF((ISNUMBER(AE41:AE70))*(AE41:AE70&lt;LARGE(AE41:AE70,2))*(AE41:AE70&gt;SMALL(AE41:AE70,2)),AE41:AE70)),0)</f>
        <v>248141959</v>
      </c>
      <c r="AF71" s="25" cm="1">
        <f t="array" ref="AF71">ROUND(AVERAGE(IF((ISNUMBER(AF41:AF70))*(AF41:AF70&lt;LARGE(AF41:AF70,2))*(AF41:AF70&gt;SMALL(AF41:AF70,2)),AF41:AF70)),0)</f>
        <v>292368424</v>
      </c>
      <c r="AG71" s="25" cm="1">
        <f t="array" ref="AG71">ROUND(AVERAGE(IF((ISNUMBER(AG41:AG70))*(AG41:AG70&lt;LARGE(AG41:AG70,2))*(AG41:AG70&gt;SMALL(AG41:AG70,2)),AG41:AG70)),0)</f>
        <v>348995904</v>
      </c>
      <c r="AH71" s="26" cm="1">
        <f t="array" ref="AH71">ROUND(AVERAGE(IF((ISNUMBER(AH41:AH70))*(AH41:AH70&lt;LARGE(AH41:AH70,2))*(AH41:AH70&gt;SMALL(AH41:AH70,2)),AH41:AH70)),0)</f>
        <v>384505103</v>
      </c>
      <c r="AI71" s="21"/>
    </row>
    <row r="72" spans="2:35" ht="15" thickBot="1" x14ac:dyDescent="0.35">
      <c r="B72" s="31"/>
      <c r="C72" s="28"/>
      <c r="D72" s="3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9"/>
    </row>
    <row r="73" spans="2:35" ht="15" thickBot="1" x14ac:dyDescent="0.35">
      <c r="B73" s="32"/>
      <c r="D73" s="1"/>
    </row>
    <row r="74" spans="2:35" ht="36.6" x14ac:dyDescent="0.7">
      <c r="B74" s="33" t="s">
        <v>42</v>
      </c>
      <c r="C74" s="15"/>
      <c r="D74" s="39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7"/>
    </row>
    <row r="75" spans="2:35" ht="15" thickBot="1" x14ac:dyDescent="0.35">
      <c r="B75" s="34"/>
      <c r="C75" s="19"/>
      <c r="D75" s="4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1"/>
    </row>
    <row r="76" spans="2:35" x14ac:dyDescent="0.3">
      <c r="B76" s="30"/>
      <c r="C76" s="44" t="s">
        <v>0</v>
      </c>
      <c r="D76" s="35"/>
      <c r="E76" s="35" t="s">
        <v>1</v>
      </c>
      <c r="F76" s="35" t="s">
        <v>2</v>
      </c>
      <c r="G76" s="35" t="s">
        <v>3</v>
      </c>
      <c r="H76" s="35" t="s">
        <v>4</v>
      </c>
      <c r="I76" s="35" t="s">
        <v>5</v>
      </c>
      <c r="J76" s="35" t="s">
        <v>6</v>
      </c>
      <c r="K76" s="46" t="s">
        <v>7</v>
      </c>
      <c r="L76" s="46"/>
      <c r="M76" s="35" t="s">
        <v>1</v>
      </c>
      <c r="N76" s="35" t="s">
        <v>2</v>
      </c>
      <c r="O76" s="35" t="s">
        <v>3</v>
      </c>
      <c r="P76" s="35" t="s">
        <v>4</v>
      </c>
      <c r="Q76" s="35" t="s">
        <v>5</v>
      </c>
      <c r="R76" s="35" t="s">
        <v>6</v>
      </c>
      <c r="S76" s="46" t="s">
        <v>8</v>
      </c>
      <c r="T76" s="46"/>
      <c r="U76" s="35" t="s">
        <v>1</v>
      </c>
      <c r="V76" s="35" t="s">
        <v>2</v>
      </c>
      <c r="W76" s="35" t="s">
        <v>3</v>
      </c>
      <c r="X76" s="35" t="s">
        <v>4</v>
      </c>
      <c r="Y76" s="35" t="s">
        <v>5</v>
      </c>
      <c r="Z76" s="35" t="s">
        <v>6</v>
      </c>
      <c r="AA76" s="46" t="s">
        <v>9</v>
      </c>
      <c r="AB76" s="46"/>
      <c r="AC76" s="35" t="s">
        <v>1</v>
      </c>
      <c r="AD76" s="35" t="s">
        <v>2</v>
      </c>
      <c r="AE76" s="35" t="s">
        <v>3</v>
      </c>
      <c r="AF76" s="35" t="s">
        <v>4</v>
      </c>
      <c r="AG76" s="35" t="s">
        <v>5</v>
      </c>
      <c r="AH76" s="36" t="s">
        <v>6</v>
      </c>
      <c r="AI76" s="21"/>
    </row>
    <row r="77" spans="2:35" x14ac:dyDescent="0.3">
      <c r="B77" s="30"/>
      <c r="C77" s="23"/>
      <c r="D77" s="42" t="s">
        <v>10</v>
      </c>
      <c r="E77" s="41">
        <v>758750</v>
      </c>
      <c r="F77" s="41">
        <v>354408</v>
      </c>
      <c r="G77" s="41">
        <v>177120</v>
      </c>
      <c r="H77" s="41">
        <v>168261</v>
      </c>
      <c r="I77" s="41">
        <v>137778</v>
      </c>
      <c r="J77" s="41">
        <v>99260</v>
      </c>
      <c r="K77" s="20"/>
      <c r="L77" s="20"/>
      <c r="M77" s="41">
        <v>10281406</v>
      </c>
      <c r="N77" s="41">
        <v>2261000</v>
      </c>
      <c r="O77" s="41">
        <v>1266229</v>
      </c>
      <c r="P77" s="41">
        <v>744224</v>
      </c>
      <c r="Q77" s="41">
        <v>604249</v>
      </c>
      <c r="R77" s="41">
        <v>566832</v>
      </c>
      <c r="S77" s="20"/>
      <c r="T77" s="20"/>
      <c r="U77" s="41">
        <v>77395617</v>
      </c>
      <c r="V77" s="41">
        <v>29855634</v>
      </c>
      <c r="W77" s="41">
        <v>16524852</v>
      </c>
      <c r="X77" s="41">
        <v>18401849</v>
      </c>
      <c r="Y77" s="41">
        <v>15505274</v>
      </c>
      <c r="Z77" s="41">
        <v>17576525</v>
      </c>
      <c r="AA77" s="20"/>
      <c r="AB77" s="20"/>
      <c r="AC77" s="41">
        <v>829392088</v>
      </c>
      <c r="AD77" s="41">
        <v>359252238</v>
      </c>
      <c r="AE77" s="41">
        <v>204720383</v>
      </c>
      <c r="AF77" s="41">
        <v>290416096</v>
      </c>
      <c r="AG77" s="41">
        <v>401413177</v>
      </c>
      <c r="AH77" s="43">
        <v>514265690</v>
      </c>
      <c r="AI77" s="21"/>
    </row>
    <row r="78" spans="2:35" x14ac:dyDescent="0.3">
      <c r="B78" s="30"/>
      <c r="C78" s="23"/>
      <c r="D78" s="42" t="s">
        <v>11</v>
      </c>
      <c r="E78" s="41">
        <v>740070</v>
      </c>
      <c r="F78" s="41">
        <v>357266</v>
      </c>
      <c r="G78" s="41">
        <v>171567</v>
      </c>
      <c r="H78" s="41">
        <v>142236</v>
      </c>
      <c r="I78" s="41">
        <v>113884</v>
      </c>
      <c r="J78" s="41">
        <v>104922</v>
      </c>
      <c r="K78" s="20"/>
      <c r="L78" s="20"/>
      <c r="M78" s="41">
        <v>9270547</v>
      </c>
      <c r="N78" s="41">
        <v>3321094</v>
      </c>
      <c r="O78" s="41">
        <v>1171886</v>
      </c>
      <c r="P78" s="41">
        <v>763569</v>
      </c>
      <c r="Q78" s="41">
        <v>646695</v>
      </c>
      <c r="R78" s="41">
        <v>531303</v>
      </c>
      <c r="S78" s="20"/>
      <c r="T78" s="20"/>
      <c r="U78" s="41">
        <v>3654834663</v>
      </c>
      <c r="V78" s="41">
        <v>28553846</v>
      </c>
      <c r="W78" s="41">
        <v>15873804</v>
      </c>
      <c r="X78" s="41">
        <v>19113925</v>
      </c>
      <c r="Y78" s="41">
        <v>17279043</v>
      </c>
      <c r="Z78" s="41">
        <v>18695176</v>
      </c>
      <c r="AA78" s="20"/>
      <c r="AB78" s="20"/>
      <c r="AC78" s="41">
        <v>810060149</v>
      </c>
      <c r="AD78" s="41">
        <v>353272709</v>
      </c>
      <c r="AE78" s="41">
        <v>217007407</v>
      </c>
      <c r="AF78" s="41">
        <v>294866973</v>
      </c>
      <c r="AG78" s="41">
        <v>364732113</v>
      </c>
      <c r="AH78" s="43">
        <v>503927588</v>
      </c>
      <c r="AI78" s="21"/>
    </row>
    <row r="79" spans="2:35" x14ac:dyDescent="0.3">
      <c r="B79" s="30"/>
      <c r="C79" s="23"/>
      <c r="D79" s="42" t="s">
        <v>12</v>
      </c>
      <c r="E79" s="41">
        <v>749745</v>
      </c>
      <c r="F79" s="41">
        <v>348989</v>
      </c>
      <c r="G79" s="41">
        <v>173400</v>
      </c>
      <c r="H79" s="41">
        <v>139149</v>
      </c>
      <c r="I79" s="41">
        <v>120488</v>
      </c>
      <c r="J79" s="41">
        <v>130912</v>
      </c>
      <c r="K79" s="20"/>
      <c r="L79" s="20"/>
      <c r="M79" s="41">
        <v>10077254</v>
      </c>
      <c r="N79" s="41">
        <v>2344318</v>
      </c>
      <c r="O79" s="41">
        <v>1233046</v>
      </c>
      <c r="P79" s="41">
        <v>752364</v>
      </c>
      <c r="Q79" s="41">
        <v>612621</v>
      </c>
      <c r="R79" s="41">
        <v>525445</v>
      </c>
      <c r="S79" s="20"/>
      <c r="T79" s="20"/>
      <c r="U79" s="41">
        <v>66705325</v>
      </c>
      <c r="V79" s="41">
        <v>29348939</v>
      </c>
      <c r="W79" s="41">
        <v>15282305</v>
      </c>
      <c r="X79" s="41">
        <v>17232448</v>
      </c>
      <c r="Y79" s="41">
        <v>18663054</v>
      </c>
      <c r="Z79" s="41">
        <v>17388810</v>
      </c>
      <c r="AA79" s="20"/>
      <c r="AB79" s="20"/>
      <c r="AC79" s="41">
        <v>894048662</v>
      </c>
      <c r="AD79" s="41">
        <v>349482121</v>
      </c>
      <c r="AE79" s="41">
        <v>209208548</v>
      </c>
      <c r="AF79" s="41">
        <v>292565921</v>
      </c>
      <c r="AG79" s="41">
        <v>368214549</v>
      </c>
      <c r="AH79" s="43">
        <v>541995080</v>
      </c>
      <c r="AI79" s="21"/>
    </row>
    <row r="80" spans="2:35" x14ac:dyDescent="0.3">
      <c r="B80" s="30"/>
      <c r="C80" s="23"/>
      <c r="D80" s="42" t="s">
        <v>13</v>
      </c>
      <c r="E80" s="41">
        <v>732782</v>
      </c>
      <c r="F80" s="41">
        <v>345730</v>
      </c>
      <c r="G80" s="41">
        <v>171917</v>
      </c>
      <c r="H80" s="41">
        <v>131925</v>
      </c>
      <c r="I80" s="41">
        <v>100133</v>
      </c>
      <c r="J80" s="41">
        <v>98730</v>
      </c>
      <c r="K80" s="20"/>
      <c r="L80" s="20"/>
      <c r="M80" s="41">
        <v>10705635</v>
      </c>
      <c r="N80" s="41">
        <v>2318338</v>
      </c>
      <c r="O80" s="41">
        <v>1214760</v>
      </c>
      <c r="P80" s="41">
        <v>777506</v>
      </c>
      <c r="Q80" s="41">
        <v>624689</v>
      </c>
      <c r="R80" s="41">
        <v>602742</v>
      </c>
      <c r="S80" s="20"/>
      <c r="T80" s="20"/>
      <c r="U80" s="41">
        <v>90118054</v>
      </c>
      <c r="V80" s="41">
        <v>29904217</v>
      </c>
      <c r="W80" s="41">
        <v>19431592</v>
      </c>
      <c r="X80" s="41">
        <v>18495876</v>
      </c>
      <c r="Y80" s="41">
        <v>17831593</v>
      </c>
      <c r="Z80" s="41">
        <v>16228441</v>
      </c>
      <c r="AA80" s="20"/>
      <c r="AB80" s="20"/>
      <c r="AC80" s="41">
        <v>850064438</v>
      </c>
      <c r="AD80" s="41">
        <v>348443228</v>
      </c>
      <c r="AE80" s="41">
        <v>268150010</v>
      </c>
      <c r="AF80" s="41">
        <v>294267177</v>
      </c>
      <c r="AG80" s="41">
        <v>391452063</v>
      </c>
      <c r="AH80" s="43">
        <v>493719280</v>
      </c>
      <c r="AI80" s="21"/>
    </row>
    <row r="81" spans="2:35" x14ac:dyDescent="0.3">
      <c r="B81" s="30"/>
      <c r="C81" s="23"/>
      <c r="D81" s="42" t="s">
        <v>14</v>
      </c>
      <c r="E81" s="41">
        <v>737861</v>
      </c>
      <c r="F81" s="41">
        <v>349194</v>
      </c>
      <c r="G81" s="41">
        <v>173504</v>
      </c>
      <c r="H81" s="41">
        <v>133201</v>
      </c>
      <c r="I81" s="41">
        <v>125511</v>
      </c>
      <c r="J81" s="41">
        <v>99771</v>
      </c>
      <c r="K81" s="20"/>
      <c r="L81" s="20"/>
      <c r="M81" s="41">
        <v>9621223</v>
      </c>
      <c r="N81" s="41">
        <v>2229666</v>
      </c>
      <c r="O81" s="41">
        <v>1753056</v>
      </c>
      <c r="P81" s="41">
        <v>784645</v>
      </c>
      <c r="Q81" s="41">
        <v>598608</v>
      </c>
      <c r="R81" s="41">
        <v>524057</v>
      </c>
      <c r="S81" s="20"/>
      <c r="T81" s="20"/>
      <c r="U81" s="41">
        <v>66792569</v>
      </c>
      <c r="V81" s="41">
        <v>29110485</v>
      </c>
      <c r="W81" s="41">
        <v>19044142</v>
      </c>
      <c r="X81" s="41">
        <v>18410023</v>
      </c>
      <c r="Y81" s="41">
        <v>15699493</v>
      </c>
      <c r="Z81" s="41">
        <v>17696127</v>
      </c>
      <c r="AA81" s="20"/>
      <c r="AB81" s="20"/>
      <c r="AC81" s="41">
        <v>807659052</v>
      </c>
      <c r="AD81" s="41">
        <v>350845265</v>
      </c>
      <c r="AE81" s="41">
        <v>186316302</v>
      </c>
      <c r="AF81" s="41">
        <v>296108410</v>
      </c>
      <c r="AG81" s="41">
        <v>350791669</v>
      </c>
      <c r="AH81" s="43">
        <v>521554085</v>
      </c>
      <c r="AI81" s="21"/>
    </row>
    <row r="82" spans="2:35" x14ac:dyDescent="0.3">
      <c r="B82" s="30"/>
      <c r="C82" s="23"/>
      <c r="D82" s="42" t="s">
        <v>15</v>
      </c>
      <c r="E82" s="41">
        <v>707039</v>
      </c>
      <c r="F82" s="41">
        <v>361502</v>
      </c>
      <c r="G82" s="41">
        <v>169595</v>
      </c>
      <c r="H82" s="41">
        <v>126556</v>
      </c>
      <c r="I82" s="41">
        <v>105792</v>
      </c>
      <c r="J82" s="41">
        <v>81462</v>
      </c>
      <c r="K82" s="20"/>
      <c r="L82" s="20"/>
      <c r="M82" s="41">
        <v>9758206</v>
      </c>
      <c r="N82" s="41">
        <v>2224666</v>
      </c>
      <c r="O82" s="41">
        <v>2093348</v>
      </c>
      <c r="P82" s="41">
        <v>885926</v>
      </c>
      <c r="Q82" s="41">
        <v>691435</v>
      </c>
      <c r="R82" s="41">
        <v>1305421</v>
      </c>
      <c r="S82" s="20"/>
      <c r="T82" s="20"/>
      <c r="U82" s="41">
        <v>88404977</v>
      </c>
      <c r="V82" s="41">
        <v>29880984</v>
      </c>
      <c r="W82" s="41">
        <v>16429756</v>
      </c>
      <c r="X82" s="41">
        <v>16638361</v>
      </c>
      <c r="Y82" s="41">
        <v>16916266</v>
      </c>
      <c r="Z82" s="41">
        <v>17205252</v>
      </c>
      <c r="AA82" s="20"/>
      <c r="AB82" s="20"/>
      <c r="AC82" s="41">
        <v>818456457</v>
      </c>
      <c r="AD82" s="41">
        <v>348066174</v>
      </c>
      <c r="AE82" s="41">
        <v>187547877</v>
      </c>
      <c r="AF82" s="41">
        <v>294230742</v>
      </c>
      <c r="AG82" s="41">
        <v>373655362</v>
      </c>
      <c r="AH82" s="43">
        <v>535400157</v>
      </c>
      <c r="AI82" s="21"/>
    </row>
    <row r="83" spans="2:35" x14ac:dyDescent="0.3">
      <c r="B83" s="30"/>
      <c r="C83" s="23"/>
      <c r="D83" s="42" t="s">
        <v>16</v>
      </c>
      <c r="E83" s="41">
        <v>744597</v>
      </c>
      <c r="F83" s="41">
        <v>355689</v>
      </c>
      <c r="G83" s="41">
        <v>175648</v>
      </c>
      <c r="H83" s="41">
        <v>192246</v>
      </c>
      <c r="I83" s="41">
        <v>112190</v>
      </c>
      <c r="J83" s="41">
        <v>137104</v>
      </c>
      <c r="K83" s="20"/>
      <c r="L83" s="20"/>
      <c r="M83" s="41">
        <v>9143153</v>
      </c>
      <c r="N83" s="41">
        <v>2306736</v>
      </c>
      <c r="O83" s="41">
        <v>1522604</v>
      </c>
      <c r="P83" s="41">
        <v>879276</v>
      </c>
      <c r="Q83" s="41">
        <v>726494</v>
      </c>
      <c r="R83" s="41">
        <v>514678</v>
      </c>
      <c r="S83" s="20"/>
      <c r="T83" s="20"/>
      <c r="U83" s="41">
        <v>67792049</v>
      </c>
      <c r="V83" s="41">
        <v>30225903</v>
      </c>
      <c r="W83" s="41">
        <v>14856866</v>
      </c>
      <c r="X83" s="41">
        <v>18874708</v>
      </c>
      <c r="Y83" s="41">
        <v>17047731</v>
      </c>
      <c r="Z83" s="41">
        <v>17503218</v>
      </c>
      <c r="AA83" s="20"/>
      <c r="AB83" s="20"/>
      <c r="AC83" s="41">
        <v>830018567</v>
      </c>
      <c r="AD83" s="41">
        <v>348734123</v>
      </c>
      <c r="AE83" s="41">
        <v>185846361</v>
      </c>
      <c r="AF83" s="41">
        <v>297955504</v>
      </c>
      <c r="AG83" s="41">
        <v>394153163</v>
      </c>
      <c r="AH83" s="43">
        <v>561717705</v>
      </c>
      <c r="AI83" s="21"/>
    </row>
    <row r="84" spans="2:35" x14ac:dyDescent="0.3">
      <c r="B84" s="30"/>
      <c r="C84" s="23"/>
      <c r="D84" s="42" t="s">
        <v>17</v>
      </c>
      <c r="E84" s="41">
        <v>751579</v>
      </c>
      <c r="F84" s="41">
        <v>369099</v>
      </c>
      <c r="G84" s="41">
        <v>173644</v>
      </c>
      <c r="H84" s="41">
        <v>130548</v>
      </c>
      <c r="I84" s="41">
        <v>120336</v>
      </c>
      <c r="J84" s="41">
        <v>95802</v>
      </c>
      <c r="K84" s="20"/>
      <c r="L84" s="20"/>
      <c r="M84" s="41">
        <v>9363521</v>
      </c>
      <c r="N84" s="41">
        <v>2261080</v>
      </c>
      <c r="O84" s="41">
        <v>1716331</v>
      </c>
      <c r="P84" s="41">
        <v>775760</v>
      </c>
      <c r="Q84" s="41">
        <v>592756</v>
      </c>
      <c r="R84" s="41">
        <v>507464</v>
      </c>
      <c r="S84" s="20"/>
      <c r="T84" s="20"/>
      <c r="U84" s="41">
        <v>67080336</v>
      </c>
      <c r="V84" s="41">
        <v>30099560</v>
      </c>
      <c r="W84" s="41">
        <v>19553897</v>
      </c>
      <c r="X84" s="41">
        <v>18836747</v>
      </c>
      <c r="Y84" s="41">
        <v>17382975</v>
      </c>
      <c r="Z84" s="41">
        <v>18349466</v>
      </c>
      <c r="AA84" s="20"/>
      <c r="AB84" s="20"/>
      <c r="AC84" s="41">
        <v>825668135</v>
      </c>
      <c r="AD84" s="41">
        <v>352398816</v>
      </c>
      <c r="AE84" s="41">
        <v>187783802</v>
      </c>
      <c r="AF84" s="41">
        <v>298237640</v>
      </c>
      <c r="AG84" s="41">
        <v>374918340</v>
      </c>
      <c r="AH84" s="43">
        <v>536640774</v>
      </c>
      <c r="AI84" s="21"/>
    </row>
    <row r="85" spans="2:35" x14ac:dyDescent="0.3">
      <c r="B85" s="30"/>
      <c r="C85" s="23"/>
      <c r="D85" s="42" t="s">
        <v>18</v>
      </c>
      <c r="E85" s="41">
        <v>866817</v>
      </c>
      <c r="F85" s="41">
        <v>347634</v>
      </c>
      <c r="G85" s="41">
        <v>172770</v>
      </c>
      <c r="H85" s="41">
        <v>140993</v>
      </c>
      <c r="I85" s="41">
        <v>105322</v>
      </c>
      <c r="J85" s="41">
        <v>100018</v>
      </c>
      <c r="K85" s="20"/>
      <c r="L85" s="20"/>
      <c r="M85" s="41">
        <v>8572666</v>
      </c>
      <c r="N85" s="41">
        <v>2343276</v>
      </c>
      <c r="O85" s="41">
        <v>2159187</v>
      </c>
      <c r="P85" s="41">
        <v>733822</v>
      </c>
      <c r="Q85" s="41">
        <v>668408</v>
      </c>
      <c r="R85" s="41">
        <v>527508</v>
      </c>
      <c r="S85" s="20"/>
      <c r="T85" s="20"/>
      <c r="U85" s="41">
        <v>78438369</v>
      </c>
      <c r="V85" s="41">
        <v>29646283</v>
      </c>
      <c r="W85" s="41">
        <v>15667110</v>
      </c>
      <c r="X85" s="41">
        <v>16197120</v>
      </c>
      <c r="Y85" s="41">
        <v>18293765</v>
      </c>
      <c r="Z85" s="41">
        <v>17059073</v>
      </c>
      <c r="AA85" s="20"/>
      <c r="AB85" s="20"/>
      <c r="AC85" s="41">
        <v>834686771</v>
      </c>
      <c r="AD85" s="41">
        <v>354354788</v>
      </c>
      <c r="AE85" s="41">
        <v>184536506</v>
      </c>
      <c r="AF85" s="41">
        <v>299802254</v>
      </c>
      <c r="AG85" s="41">
        <v>375261412</v>
      </c>
      <c r="AH85" s="43">
        <v>532680890</v>
      </c>
      <c r="AI85" s="21"/>
    </row>
    <row r="86" spans="2:35" x14ac:dyDescent="0.3">
      <c r="B86" s="30"/>
      <c r="C86" s="23"/>
      <c r="D86" s="42" t="s">
        <v>19</v>
      </c>
      <c r="E86" s="41">
        <v>738935</v>
      </c>
      <c r="F86" s="41">
        <v>354507</v>
      </c>
      <c r="G86" s="41">
        <v>159445</v>
      </c>
      <c r="H86" s="41">
        <v>145744</v>
      </c>
      <c r="I86" s="41">
        <v>98464</v>
      </c>
      <c r="J86" s="41">
        <v>89881</v>
      </c>
      <c r="K86" s="20"/>
      <c r="L86" s="20"/>
      <c r="M86" s="41">
        <v>8952666</v>
      </c>
      <c r="N86" s="41">
        <v>2315250</v>
      </c>
      <c r="O86" s="41">
        <v>1927315</v>
      </c>
      <c r="P86" s="41">
        <v>710918</v>
      </c>
      <c r="Q86" s="41">
        <v>615721</v>
      </c>
      <c r="R86" s="41">
        <v>512232</v>
      </c>
      <c r="S86" s="20"/>
      <c r="T86" s="20"/>
      <c r="U86" s="41">
        <v>67052042</v>
      </c>
      <c r="V86" s="41">
        <v>29589317</v>
      </c>
      <c r="W86" s="41">
        <v>20230598</v>
      </c>
      <c r="X86" s="41">
        <v>18777839</v>
      </c>
      <c r="Y86" s="41">
        <v>18553232</v>
      </c>
      <c r="Z86" s="41">
        <v>17496812</v>
      </c>
      <c r="AA86" s="20"/>
      <c r="AB86" s="20"/>
      <c r="AC86" s="41">
        <v>840897204</v>
      </c>
      <c r="AD86" s="41">
        <v>349748631</v>
      </c>
      <c r="AE86" s="41">
        <v>184523371</v>
      </c>
      <c r="AF86" s="41">
        <v>295293187</v>
      </c>
      <c r="AG86" s="41">
        <v>360461667</v>
      </c>
      <c r="AH86" s="43">
        <v>516141828</v>
      </c>
      <c r="AI86" s="21"/>
    </row>
    <row r="87" spans="2:35" x14ac:dyDescent="0.3">
      <c r="B87" s="30"/>
      <c r="C87" s="23"/>
      <c r="D87" s="42" t="s">
        <v>20</v>
      </c>
      <c r="E87" s="41">
        <v>760125</v>
      </c>
      <c r="F87" s="41">
        <v>354304</v>
      </c>
      <c r="G87" s="41">
        <v>124084</v>
      </c>
      <c r="H87" s="41">
        <v>129072</v>
      </c>
      <c r="I87" s="41">
        <v>110688</v>
      </c>
      <c r="J87" s="41">
        <v>113043</v>
      </c>
      <c r="K87" s="20"/>
      <c r="L87" s="20"/>
      <c r="M87" s="41">
        <v>9273255</v>
      </c>
      <c r="N87" s="41">
        <v>2231769</v>
      </c>
      <c r="O87" s="41">
        <v>2459370</v>
      </c>
      <c r="P87" s="41">
        <v>730771</v>
      </c>
      <c r="Q87" s="41">
        <v>632339</v>
      </c>
      <c r="R87" s="41">
        <v>527360</v>
      </c>
      <c r="S87" s="20"/>
      <c r="T87" s="20"/>
      <c r="U87" s="41">
        <v>67991695</v>
      </c>
      <c r="V87" s="41">
        <v>29436837</v>
      </c>
      <c r="W87" s="41">
        <v>18351807</v>
      </c>
      <c r="X87" s="41">
        <v>19487313</v>
      </c>
      <c r="Y87" s="41">
        <v>16929936</v>
      </c>
      <c r="Z87" s="41">
        <v>17456999</v>
      </c>
      <c r="AA87" s="20"/>
      <c r="AB87" s="20"/>
      <c r="AC87" s="41">
        <v>806576600</v>
      </c>
      <c r="AD87" s="41">
        <v>351323298</v>
      </c>
      <c r="AE87" s="41">
        <v>185404731</v>
      </c>
      <c r="AF87" s="41">
        <v>300830733</v>
      </c>
      <c r="AG87" s="41">
        <v>354801858</v>
      </c>
      <c r="AH87" s="43">
        <v>527457180</v>
      </c>
      <c r="AI87" s="21"/>
    </row>
    <row r="88" spans="2:35" x14ac:dyDescent="0.3">
      <c r="B88" s="30"/>
      <c r="C88" s="23"/>
      <c r="D88" s="42" t="s">
        <v>21</v>
      </c>
      <c r="E88" s="41">
        <v>740338</v>
      </c>
      <c r="F88" s="41">
        <v>349684</v>
      </c>
      <c r="G88" s="41">
        <v>182310</v>
      </c>
      <c r="H88" s="41">
        <v>135850</v>
      </c>
      <c r="I88" s="41">
        <v>96547</v>
      </c>
      <c r="J88" s="41">
        <v>96969</v>
      </c>
      <c r="K88" s="20"/>
      <c r="L88" s="20"/>
      <c r="M88" s="41">
        <v>9328742</v>
      </c>
      <c r="N88" s="41">
        <v>2336965</v>
      </c>
      <c r="O88" s="41">
        <v>1328709</v>
      </c>
      <c r="P88" s="41">
        <v>804141</v>
      </c>
      <c r="Q88" s="41">
        <v>617744</v>
      </c>
      <c r="R88" s="41">
        <v>543689</v>
      </c>
      <c r="S88" s="20"/>
      <c r="T88" s="20"/>
      <c r="U88" s="41">
        <v>86720674</v>
      </c>
      <c r="V88" s="41">
        <v>30163014</v>
      </c>
      <c r="W88" s="41">
        <v>19576359</v>
      </c>
      <c r="X88" s="41">
        <v>17261163</v>
      </c>
      <c r="Y88" s="41">
        <v>18012176</v>
      </c>
      <c r="Z88" s="41">
        <v>18337638</v>
      </c>
      <c r="AA88" s="20"/>
      <c r="AB88" s="20"/>
      <c r="AC88" s="41">
        <v>841885430</v>
      </c>
      <c r="AD88" s="41">
        <v>350159135</v>
      </c>
      <c r="AE88" s="41">
        <v>185115562</v>
      </c>
      <c r="AF88" s="41">
        <v>297090347</v>
      </c>
      <c r="AG88" s="41">
        <v>384533152</v>
      </c>
      <c r="AH88" s="43">
        <v>551708542</v>
      </c>
      <c r="AI88" s="21"/>
    </row>
    <row r="89" spans="2:35" x14ac:dyDescent="0.3">
      <c r="B89" s="30"/>
      <c r="C89" s="23"/>
      <c r="D89" s="42" t="s">
        <v>22</v>
      </c>
      <c r="E89" s="41">
        <v>774658</v>
      </c>
      <c r="F89" s="41">
        <v>349281</v>
      </c>
      <c r="G89" s="41">
        <v>212088</v>
      </c>
      <c r="H89" s="41">
        <v>170533</v>
      </c>
      <c r="I89" s="41">
        <v>109120</v>
      </c>
      <c r="J89" s="41">
        <v>108605</v>
      </c>
      <c r="K89" s="20"/>
      <c r="L89" s="20"/>
      <c r="M89" s="41">
        <v>7188850</v>
      </c>
      <c r="N89" s="41">
        <v>2398872</v>
      </c>
      <c r="O89" s="41">
        <v>1339343</v>
      </c>
      <c r="P89" s="41">
        <v>2696553</v>
      </c>
      <c r="Q89" s="41">
        <v>603214</v>
      </c>
      <c r="R89" s="41">
        <v>562496</v>
      </c>
      <c r="S89" s="20"/>
      <c r="T89" s="20"/>
      <c r="U89" s="41">
        <v>87843503</v>
      </c>
      <c r="V89" s="41">
        <v>30062457</v>
      </c>
      <c r="W89" s="41">
        <v>19215680</v>
      </c>
      <c r="X89" s="41">
        <v>17267727</v>
      </c>
      <c r="Y89" s="41">
        <v>18137332</v>
      </c>
      <c r="Z89" s="41">
        <v>18659161</v>
      </c>
      <c r="AA89" s="20"/>
      <c r="AB89" s="20"/>
      <c r="AC89" s="41">
        <v>803739764</v>
      </c>
      <c r="AD89" s="41">
        <v>345755496</v>
      </c>
      <c r="AE89" s="41">
        <v>182365355</v>
      </c>
      <c r="AF89" s="41">
        <v>298334612</v>
      </c>
      <c r="AG89" s="41">
        <v>381348033</v>
      </c>
      <c r="AH89" s="43">
        <v>521230866</v>
      </c>
      <c r="AI89" s="21"/>
    </row>
    <row r="90" spans="2:35" x14ac:dyDescent="0.3">
      <c r="B90" s="30"/>
      <c r="C90" s="23"/>
      <c r="D90" s="42" t="s">
        <v>23</v>
      </c>
      <c r="E90" s="41">
        <v>723960</v>
      </c>
      <c r="F90" s="41">
        <v>344860</v>
      </c>
      <c r="G90" s="41">
        <v>187091</v>
      </c>
      <c r="H90" s="41">
        <v>149251</v>
      </c>
      <c r="I90" s="41">
        <v>104308</v>
      </c>
      <c r="J90" s="41">
        <v>112962</v>
      </c>
      <c r="K90" s="20"/>
      <c r="L90" s="20"/>
      <c r="M90" s="41">
        <v>5802830</v>
      </c>
      <c r="N90" s="41">
        <v>2438533</v>
      </c>
      <c r="O90" s="41">
        <v>1244712</v>
      </c>
      <c r="P90" s="41">
        <v>836022</v>
      </c>
      <c r="Q90" s="41">
        <v>604018</v>
      </c>
      <c r="R90" s="41">
        <v>569541</v>
      </c>
      <c r="S90" s="20"/>
      <c r="T90" s="20"/>
      <c r="U90" s="41">
        <v>91104765</v>
      </c>
      <c r="V90" s="41">
        <v>30346004</v>
      </c>
      <c r="W90" s="41">
        <v>18579647</v>
      </c>
      <c r="X90" s="41">
        <v>18473342</v>
      </c>
      <c r="Y90" s="41">
        <v>17247312</v>
      </c>
      <c r="Z90" s="41">
        <v>19553901</v>
      </c>
      <c r="AA90" s="20"/>
      <c r="AB90" s="20"/>
      <c r="AC90" s="41">
        <v>803440620</v>
      </c>
      <c r="AD90" s="41">
        <v>347661817</v>
      </c>
      <c r="AE90" s="41">
        <v>182219965</v>
      </c>
      <c r="AF90" s="41">
        <v>300193959</v>
      </c>
      <c r="AG90" s="41">
        <v>396977932</v>
      </c>
      <c r="AH90" s="43">
        <v>519463891</v>
      </c>
      <c r="AI90" s="21"/>
    </row>
    <row r="91" spans="2:35" x14ac:dyDescent="0.3">
      <c r="B91" s="30"/>
      <c r="C91" s="23"/>
      <c r="D91" s="42" t="s">
        <v>24</v>
      </c>
      <c r="E91" s="41">
        <v>937385</v>
      </c>
      <c r="F91" s="41">
        <v>349085</v>
      </c>
      <c r="G91" s="41">
        <v>180470</v>
      </c>
      <c r="H91" s="41">
        <v>130757</v>
      </c>
      <c r="I91" s="41">
        <v>96646</v>
      </c>
      <c r="J91" s="41">
        <v>95722</v>
      </c>
      <c r="K91" s="20"/>
      <c r="L91" s="20"/>
      <c r="M91" s="41">
        <v>8410768</v>
      </c>
      <c r="N91" s="41">
        <v>2232016</v>
      </c>
      <c r="O91" s="41">
        <v>1381910</v>
      </c>
      <c r="P91" s="41">
        <v>740068</v>
      </c>
      <c r="Q91" s="41">
        <v>623763</v>
      </c>
      <c r="R91" s="41">
        <v>530111</v>
      </c>
      <c r="S91" s="20"/>
      <c r="T91" s="20"/>
      <c r="U91" s="41">
        <v>66293860</v>
      </c>
      <c r="V91" s="41">
        <v>30325538</v>
      </c>
      <c r="W91" s="41">
        <v>20378859</v>
      </c>
      <c r="X91" s="41">
        <v>17228685</v>
      </c>
      <c r="Y91" s="41">
        <v>16556244</v>
      </c>
      <c r="Z91" s="41">
        <v>19390342</v>
      </c>
      <c r="AA91" s="20"/>
      <c r="AB91" s="20"/>
      <c r="AC91" s="41">
        <v>831777288</v>
      </c>
      <c r="AD91" s="41">
        <v>347369703</v>
      </c>
      <c r="AE91" s="41">
        <v>183199965</v>
      </c>
      <c r="AF91" s="41">
        <v>303036224</v>
      </c>
      <c r="AG91" s="41">
        <v>378463919</v>
      </c>
      <c r="AH91" s="43">
        <v>551138249</v>
      </c>
      <c r="AI91" s="21"/>
    </row>
    <row r="92" spans="2:35" x14ac:dyDescent="0.3">
      <c r="B92" s="30"/>
      <c r="C92" s="23"/>
      <c r="D92" s="42" t="s">
        <v>25</v>
      </c>
      <c r="E92" s="41">
        <v>824909</v>
      </c>
      <c r="F92" s="41">
        <v>342179</v>
      </c>
      <c r="G92" s="41">
        <v>177892</v>
      </c>
      <c r="H92" s="41">
        <v>134480</v>
      </c>
      <c r="I92" s="41">
        <v>114645</v>
      </c>
      <c r="J92" s="41">
        <v>79113</v>
      </c>
      <c r="K92" s="20"/>
      <c r="L92" s="20"/>
      <c r="M92" s="41">
        <v>5292016</v>
      </c>
      <c r="N92" s="41">
        <v>2291779</v>
      </c>
      <c r="O92" s="41">
        <v>1294564</v>
      </c>
      <c r="P92" s="41">
        <v>826445</v>
      </c>
      <c r="Q92" s="41">
        <v>610963</v>
      </c>
      <c r="R92" s="41">
        <v>531689</v>
      </c>
      <c r="S92" s="20"/>
      <c r="T92" s="20"/>
      <c r="U92" s="41">
        <v>68115152</v>
      </c>
      <c r="V92" s="41">
        <v>29840292</v>
      </c>
      <c r="W92" s="41">
        <v>19621346</v>
      </c>
      <c r="X92" s="41">
        <v>19048589</v>
      </c>
      <c r="Y92" s="41">
        <v>17934953</v>
      </c>
      <c r="Z92" s="41">
        <v>19133917</v>
      </c>
      <c r="AA92" s="20"/>
      <c r="AB92" s="20"/>
      <c r="AC92" s="41">
        <v>795723400</v>
      </c>
      <c r="AD92" s="41">
        <v>349003176</v>
      </c>
      <c r="AE92" s="41">
        <v>180893416</v>
      </c>
      <c r="AF92" s="41">
        <v>287112432</v>
      </c>
      <c r="AG92" s="41">
        <v>384168184</v>
      </c>
      <c r="AH92" s="43">
        <v>550276183</v>
      </c>
      <c r="AI92" s="21"/>
    </row>
    <row r="93" spans="2:35" x14ac:dyDescent="0.3">
      <c r="B93" s="30"/>
      <c r="C93" s="23"/>
      <c r="D93" s="42" t="s">
        <v>26</v>
      </c>
      <c r="E93" s="41">
        <v>770907</v>
      </c>
      <c r="F93" s="41">
        <v>341743</v>
      </c>
      <c r="G93" s="41">
        <v>182122</v>
      </c>
      <c r="H93" s="41">
        <v>132177</v>
      </c>
      <c r="I93" s="41">
        <v>108140</v>
      </c>
      <c r="J93" s="41">
        <v>122217</v>
      </c>
      <c r="K93" s="20"/>
      <c r="L93" s="20"/>
      <c r="M93" s="41">
        <v>6519342</v>
      </c>
      <c r="N93" s="41">
        <v>2286012</v>
      </c>
      <c r="O93" s="41">
        <v>1622100</v>
      </c>
      <c r="P93" s="41">
        <v>785582</v>
      </c>
      <c r="Q93" s="41">
        <v>606572</v>
      </c>
      <c r="R93" s="41">
        <v>595730</v>
      </c>
      <c r="S93" s="20"/>
      <c r="T93" s="20"/>
      <c r="U93" s="41">
        <v>88731884</v>
      </c>
      <c r="V93" s="41">
        <v>29514369</v>
      </c>
      <c r="W93" s="41">
        <v>17474125</v>
      </c>
      <c r="X93" s="41">
        <v>18078729</v>
      </c>
      <c r="Y93" s="41">
        <v>18726443</v>
      </c>
      <c r="Z93" s="41">
        <v>18945805</v>
      </c>
      <c r="AA93" s="20"/>
      <c r="AB93" s="20"/>
      <c r="AC93" s="41">
        <v>810638319</v>
      </c>
      <c r="AD93" s="41">
        <v>353467521</v>
      </c>
      <c r="AE93" s="41">
        <v>185008880</v>
      </c>
      <c r="AF93" s="41">
        <v>299121675</v>
      </c>
      <c r="AG93" s="41">
        <v>366456566</v>
      </c>
      <c r="AH93" s="43">
        <v>551067080</v>
      </c>
      <c r="AI93" s="21"/>
    </row>
    <row r="94" spans="2:35" x14ac:dyDescent="0.3">
      <c r="B94" s="30"/>
      <c r="C94" s="23"/>
      <c r="D94" s="42" t="s">
        <v>27</v>
      </c>
      <c r="E94" s="41">
        <v>769550</v>
      </c>
      <c r="F94" s="41">
        <v>342692</v>
      </c>
      <c r="G94" s="41">
        <v>172887</v>
      </c>
      <c r="H94" s="41">
        <v>125056</v>
      </c>
      <c r="I94" s="41">
        <v>100975</v>
      </c>
      <c r="J94" s="41">
        <v>91173</v>
      </c>
      <c r="K94" s="20"/>
      <c r="L94" s="20"/>
      <c r="M94" s="41">
        <v>5603595</v>
      </c>
      <c r="N94" s="41">
        <v>2265053</v>
      </c>
      <c r="O94" s="41">
        <v>1408586</v>
      </c>
      <c r="P94" s="41">
        <v>877762</v>
      </c>
      <c r="Q94" s="41">
        <v>636049</v>
      </c>
      <c r="R94" s="41">
        <v>532288</v>
      </c>
      <c r="S94" s="20"/>
      <c r="T94" s="20"/>
      <c r="U94" s="41">
        <v>92535738</v>
      </c>
      <c r="V94" s="41">
        <v>30278553</v>
      </c>
      <c r="W94" s="41">
        <v>16779649</v>
      </c>
      <c r="X94" s="41">
        <v>16382747</v>
      </c>
      <c r="Y94" s="41">
        <v>17838365</v>
      </c>
      <c r="Z94" s="41">
        <v>18270944</v>
      </c>
      <c r="AA94" s="20"/>
      <c r="AB94" s="20"/>
      <c r="AC94" s="41">
        <v>769025723</v>
      </c>
      <c r="AD94" s="41">
        <v>345659457</v>
      </c>
      <c r="AE94" s="41">
        <v>182317601</v>
      </c>
      <c r="AF94" s="41">
        <v>291858980</v>
      </c>
      <c r="AG94" s="41">
        <v>416565517</v>
      </c>
      <c r="AH94" s="43">
        <v>522853305</v>
      </c>
      <c r="AI94" s="21"/>
    </row>
    <row r="95" spans="2:35" x14ac:dyDescent="0.3">
      <c r="B95" s="30"/>
      <c r="C95" s="23"/>
      <c r="D95" s="42" t="s">
        <v>28</v>
      </c>
      <c r="E95" s="41">
        <v>756228</v>
      </c>
      <c r="F95" s="41">
        <v>347670</v>
      </c>
      <c r="G95" s="41">
        <v>181005</v>
      </c>
      <c r="H95" s="41">
        <v>142923</v>
      </c>
      <c r="I95" s="41">
        <v>98492</v>
      </c>
      <c r="J95" s="41">
        <v>121933</v>
      </c>
      <c r="K95" s="20"/>
      <c r="L95" s="20"/>
      <c r="M95" s="41">
        <v>5453578</v>
      </c>
      <c r="N95" s="41">
        <v>2202048</v>
      </c>
      <c r="O95" s="41">
        <v>1273869</v>
      </c>
      <c r="P95" s="41">
        <v>795608</v>
      </c>
      <c r="Q95" s="41">
        <v>668903</v>
      </c>
      <c r="R95" s="41">
        <v>539591</v>
      </c>
      <c r="S95" s="20"/>
      <c r="T95" s="20"/>
      <c r="U95" s="41">
        <v>85482376</v>
      </c>
      <c r="V95" s="41">
        <v>29468967</v>
      </c>
      <c r="W95" s="41">
        <v>18211265</v>
      </c>
      <c r="X95" s="41">
        <v>18296933</v>
      </c>
      <c r="Y95" s="41">
        <v>16167570</v>
      </c>
      <c r="Z95" s="41">
        <v>16402100</v>
      </c>
      <c r="AA95" s="20"/>
      <c r="AB95" s="20"/>
      <c r="AC95" s="41">
        <v>771487668</v>
      </c>
      <c r="AD95" s="41">
        <v>352230892</v>
      </c>
      <c r="AE95" s="41">
        <v>186468308</v>
      </c>
      <c r="AF95" s="41">
        <v>298070216</v>
      </c>
      <c r="AG95" s="41">
        <v>383723297</v>
      </c>
      <c r="AH95" s="43">
        <v>554128248</v>
      </c>
      <c r="AI95" s="21"/>
    </row>
    <row r="96" spans="2:35" x14ac:dyDescent="0.3">
      <c r="B96" s="30"/>
      <c r="C96" s="23"/>
      <c r="D96" s="42" t="s">
        <v>29</v>
      </c>
      <c r="E96" s="41">
        <v>751363</v>
      </c>
      <c r="F96" s="41">
        <v>379144</v>
      </c>
      <c r="G96" s="41">
        <v>172850</v>
      </c>
      <c r="H96" s="41">
        <v>154113</v>
      </c>
      <c r="I96" s="41">
        <v>102388</v>
      </c>
      <c r="J96" s="41">
        <v>119317</v>
      </c>
      <c r="K96" s="20"/>
      <c r="L96" s="20"/>
      <c r="M96" s="41">
        <v>5369617</v>
      </c>
      <c r="N96" s="41">
        <v>2230323</v>
      </c>
      <c r="O96" s="41">
        <v>1295876</v>
      </c>
      <c r="P96" s="41">
        <v>786469</v>
      </c>
      <c r="Q96" s="41">
        <v>604387</v>
      </c>
      <c r="R96" s="41">
        <v>605900</v>
      </c>
      <c r="S96" s="20"/>
      <c r="T96" s="20"/>
      <c r="U96" s="41">
        <v>87964911</v>
      </c>
      <c r="V96" s="41">
        <v>29515120</v>
      </c>
      <c r="W96" s="41">
        <v>18997649</v>
      </c>
      <c r="X96" s="41">
        <v>18483792</v>
      </c>
      <c r="Y96" s="41">
        <v>17287000</v>
      </c>
      <c r="Z96" s="41">
        <v>17361807</v>
      </c>
      <c r="AA96" s="20"/>
      <c r="AB96" s="20"/>
      <c r="AC96" s="41">
        <v>795497372</v>
      </c>
      <c r="AD96" s="41">
        <v>347665447</v>
      </c>
      <c r="AE96" s="41">
        <v>180688211</v>
      </c>
      <c r="AF96" s="41">
        <v>300146626</v>
      </c>
      <c r="AG96" s="41">
        <v>390177757</v>
      </c>
      <c r="AH96" s="43">
        <v>527607763</v>
      </c>
      <c r="AI96" s="21"/>
    </row>
    <row r="97" spans="2:35" x14ac:dyDescent="0.3">
      <c r="B97" s="30"/>
      <c r="C97" s="23"/>
      <c r="D97" s="42" t="s">
        <v>30</v>
      </c>
      <c r="E97" s="41">
        <v>757141</v>
      </c>
      <c r="F97" s="41">
        <v>361499</v>
      </c>
      <c r="G97" s="41">
        <v>178235</v>
      </c>
      <c r="H97" s="41">
        <v>155069</v>
      </c>
      <c r="I97" s="41">
        <v>95750</v>
      </c>
      <c r="J97" s="41">
        <v>101956</v>
      </c>
      <c r="K97" s="20"/>
      <c r="L97" s="20"/>
      <c r="M97" s="41">
        <v>5467461</v>
      </c>
      <c r="N97" s="41">
        <v>2198588</v>
      </c>
      <c r="O97" s="41">
        <v>1125394</v>
      </c>
      <c r="P97" s="41">
        <v>902682</v>
      </c>
      <c r="Q97" s="41">
        <v>605407</v>
      </c>
      <c r="R97" s="41">
        <v>525348</v>
      </c>
      <c r="S97" s="20"/>
      <c r="T97" s="20"/>
      <c r="U97" s="41">
        <v>69360131</v>
      </c>
      <c r="V97" s="41">
        <v>29489054</v>
      </c>
      <c r="W97" s="41">
        <v>19949379</v>
      </c>
      <c r="X97" s="41">
        <v>18558727</v>
      </c>
      <c r="Y97" s="41">
        <v>18191215</v>
      </c>
      <c r="Z97" s="41">
        <v>17272207</v>
      </c>
      <c r="AA97" s="20"/>
      <c r="AB97" s="20"/>
      <c r="AC97" s="41">
        <v>778748800</v>
      </c>
      <c r="AD97" s="41">
        <v>347779346</v>
      </c>
      <c r="AE97" s="41">
        <v>184282094</v>
      </c>
      <c r="AF97" s="41">
        <v>300197776</v>
      </c>
      <c r="AG97" s="41">
        <v>406333023</v>
      </c>
      <c r="AH97" s="43">
        <v>519353287</v>
      </c>
      <c r="AI97" s="21"/>
    </row>
    <row r="98" spans="2:35" x14ac:dyDescent="0.3">
      <c r="B98" s="30"/>
      <c r="C98" s="23"/>
      <c r="D98" s="42" t="s">
        <v>31</v>
      </c>
      <c r="E98" s="41">
        <v>806919</v>
      </c>
      <c r="F98" s="41">
        <v>347208</v>
      </c>
      <c r="G98" s="41">
        <v>178311</v>
      </c>
      <c r="H98" s="41">
        <v>131927</v>
      </c>
      <c r="I98" s="41">
        <v>102838</v>
      </c>
      <c r="J98" s="41">
        <v>106644</v>
      </c>
      <c r="K98" s="20"/>
      <c r="L98" s="20"/>
      <c r="M98" s="41">
        <v>4406558</v>
      </c>
      <c r="N98" s="41">
        <v>2209619</v>
      </c>
      <c r="O98" s="41">
        <v>1160891</v>
      </c>
      <c r="P98" s="41">
        <v>744844</v>
      </c>
      <c r="Q98" s="41">
        <v>639403</v>
      </c>
      <c r="R98" s="41">
        <v>550135</v>
      </c>
      <c r="S98" s="20"/>
      <c r="T98" s="20"/>
      <c r="U98" s="41">
        <v>89963233</v>
      </c>
      <c r="V98" s="41">
        <v>30306531</v>
      </c>
      <c r="W98" s="41">
        <v>20284831</v>
      </c>
      <c r="X98" s="41">
        <v>17500944</v>
      </c>
      <c r="Y98" s="41">
        <v>17277926</v>
      </c>
      <c r="Z98" s="41">
        <v>17368590</v>
      </c>
      <c r="AA98" s="20"/>
      <c r="AB98" s="20"/>
      <c r="AC98" s="41">
        <v>1201991637</v>
      </c>
      <c r="AD98" s="41">
        <v>347223904</v>
      </c>
      <c r="AE98" s="41">
        <v>179745349</v>
      </c>
      <c r="AF98" s="41">
        <v>293853773</v>
      </c>
      <c r="AG98" s="41">
        <v>382107717</v>
      </c>
      <c r="AH98" s="43">
        <v>518366361</v>
      </c>
      <c r="AI98" s="21"/>
    </row>
    <row r="99" spans="2:35" x14ac:dyDescent="0.3">
      <c r="B99" s="30"/>
      <c r="C99" s="23"/>
      <c r="D99" s="42" t="s">
        <v>32</v>
      </c>
      <c r="E99" s="41">
        <v>745525</v>
      </c>
      <c r="F99" s="41">
        <v>346855</v>
      </c>
      <c r="G99" s="41">
        <v>180245</v>
      </c>
      <c r="H99" s="41">
        <v>131014</v>
      </c>
      <c r="I99" s="41">
        <v>101912</v>
      </c>
      <c r="J99" s="41">
        <v>116452</v>
      </c>
      <c r="K99" s="20"/>
      <c r="L99" s="20"/>
      <c r="M99" s="41">
        <v>4778013</v>
      </c>
      <c r="N99" s="41">
        <v>3192506</v>
      </c>
      <c r="O99" s="41">
        <v>1109915</v>
      </c>
      <c r="P99" s="41">
        <v>733358</v>
      </c>
      <c r="Q99" s="41">
        <v>622175</v>
      </c>
      <c r="R99" s="41">
        <v>556716</v>
      </c>
      <c r="S99" s="20"/>
      <c r="T99" s="20"/>
      <c r="U99" s="41">
        <v>90255204</v>
      </c>
      <c r="V99" s="41">
        <v>30941066</v>
      </c>
      <c r="W99" s="41">
        <v>17190520</v>
      </c>
      <c r="X99" s="41">
        <v>16610988</v>
      </c>
      <c r="Y99" s="41">
        <v>17396203</v>
      </c>
      <c r="Z99" s="41">
        <v>17446983</v>
      </c>
      <c r="AA99" s="20"/>
      <c r="AB99" s="20"/>
      <c r="AC99" s="41">
        <v>780337598</v>
      </c>
      <c r="AD99" s="41">
        <v>348809388</v>
      </c>
      <c r="AE99" s="41">
        <v>199239271</v>
      </c>
      <c r="AF99" s="41">
        <v>297343780</v>
      </c>
      <c r="AG99" s="41">
        <v>392501899</v>
      </c>
      <c r="AH99" s="43">
        <v>517890809</v>
      </c>
      <c r="AI99" s="21"/>
    </row>
    <row r="100" spans="2:35" x14ac:dyDescent="0.3">
      <c r="B100" s="30"/>
      <c r="C100" s="23"/>
      <c r="D100" s="42" t="s">
        <v>33</v>
      </c>
      <c r="E100" s="41">
        <v>724955</v>
      </c>
      <c r="F100" s="41">
        <v>338796</v>
      </c>
      <c r="G100" s="41">
        <v>176049</v>
      </c>
      <c r="H100" s="41">
        <v>124018</v>
      </c>
      <c r="I100" s="41">
        <v>103934</v>
      </c>
      <c r="J100" s="41">
        <v>114731</v>
      </c>
      <c r="K100" s="20"/>
      <c r="L100" s="20"/>
      <c r="M100" s="41">
        <v>4192603</v>
      </c>
      <c r="N100" s="41">
        <v>2286621</v>
      </c>
      <c r="O100" s="41">
        <v>1179885</v>
      </c>
      <c r="P100" s="41">
        <v>782611</v>
      </c>
      <c r="Q100" s="41">
        <v>612313</v>
      </c>
      <c r="R100" s="41">
        <v>546162</v>
      </c>
      <c r="S100" s="20"/>
      <c r="T100" s="20"/>
      <c r="U100" s="41">
        <v>89759418</v>
      </c>
      <c r="V100" s="41">
        <v>29651805</v>
      </c>
      <c r="W100" s="41">
        <v>16855496</v>
      </c>
      <c r="X100" s="41">
        <v>16301916</v>
      </c>
      <c r="Y100" s="41">
        <v>18719154</v>
      </c>
      <c r="Z100" s="41">
        <v>17612113</v>
      </c>
      <c r="AA100" s="20"/>
      <c r="AB100" s="20"/>
      <c r="AC100" s="41">
        <v>811865351</v>
      </c>
      <c r="AD100" s="41">
        <v>346296685</v>
      </c>
      <c r="AE100" s="41">
        <v>182394768</v>
      </c>
      <c r="AF100" s="41">
        <v>287407430</v>
      </c>
      <c r="AG100" s="41">
        <v>381901451</v>
      </c>
      <c r="AH100" s="43">
        <v>556468390</v>
      </c>
      <c r="AI100" s="21"/>
    </row>
    <row r="101" spans="2:35" x14ac:dyDescent="0.3">
      <c r="B101" s="30"/>
      <c r="C101" s="23"/>
      <c r="D101" s="42" t="s">
        <v>34</v>
      </c>
      <c r="E101" s="41">
        <v>768853</v>
      </c>
      <c r="F101" s="41">
        <v>352983</v>
      </c>
      <c r="G101" s="41">
        <v>176134</v>
      </c>
      <c r="H101" s="41">
        <v>150839</v>
      </c>
      <c r="I101" s="41">
        <v>112195</v>
      </c>
      <c r="J101" s="41">
        <v>109803</v>
      </c>
      <c r="K101" s="20"/>
      <c r="L101" s="20"/>
      <c r="M101" s="41">
        <v>4731553</v>
      </c>
      <c r="N101" s="41">
        <v>2237974</v>
      </c>
      <c r="O101" s="41">
        <v>1273476</v>
      </c>
      <c r="P101" s="41">
        <v>806674</v>
      </c>
      <c r="Q101" s="41">
        <v>609413</v>
      </c>
      <c r="R101" s="41">
        <v>529369</v>
      </c>
      <c r="S101" s="20"/>
      <c r="T101" s="20"/>
      <c r="U101" s="41">
        <v>65839528</v>
      </c>
      <c r="V101" s="41">
        <v>29468363</v>
      </c>
      <c r="W101" s="41">
        <v>16622388</v>
      </c>
      <c r="X101" s="41">
        <v>18709868</v>
      </c>
      <c r="Y101" s="41">
        <v>17934844</v>
      </c>
      <c r="Z101" s="41">
        <v>18119492</v>
      </c>
      <c r="AA101" s="20"/>
      <c r="AB101" s="20"/>
      <c r="AC101" s="41">
        <v>821518583</v>
      </c>
      <c r="AD101" s="41">
        <v>345204102</v>
      </c>
      <c r="AE101" s="41">
        <v>183312913</v>
      </c>
      <c r="AF101" s="41">
        <v>288388450</v>
      </c>
      <c r="AG101" s="41">
        <v>394341127</v>
      </c>
      <c r="AH101" s="43">
        <v>528834666</v>
      </c>
      <c r="AI101" s="21"/>
    </row>
    <row r="102" spans="2:35" x14ac:dyDescent="0.3">
      <c r="B102" s="30"/>
      <c r="C102" s="23"/>
      <c r="D102" s="42" t="s">
        <v>35</v>
      </c>
      <c r="E102" s="41">
        <v>721523</v>
      </c>
      <c r="F102" s="41">
        <v>346099</v>
      </c>
      <c r="G102" s="41">
        <v>177115</v>
      </c>
      <c r="H102" s="41">
        <v>124961</v>
      </c>
      <c r="I102" s="41">
        <v>98046</v>
      </c>
      <c r="J102" s="41">
        <v>109965</v>
      </c>
      <c r="K102" s="20"/>
      <c r="L102" s="20"/>
      <c r="M102" s="41">
        <v>6133056</v>
      </c>
      <c r="N102" s="41">
        <v>2147142</v>
      </c>
      <c r="O102" s="41">
        <v>1169413</v>
      </c>
      <c r="P102" s="41">
        <v>818993</v>
      </c>
      <c r="Q102" s="41">
        <v>607121</v>
      </c>
      <c r="R102" s="41">
        <v>530382</v>
      </c>
      <c r="S102" s="20"/>
      <c r="T102" s="20"/>
      <c r="U102" s="41">
        <v>86422221</v>
      </c>
      <c r="V102" s="41">
        <v>29101015</v>
      </c>
      <c r="W102" s="41">
        <v>17993546</v>
      </c>
      <c r="X102" s="41">
        <v>17326967</v>
      </c>
      <c r="Y102" s="41">
        <v>16396902</v>
      </c>
      <c r="Z102" s="41">
        <v>18172420</v>
      </c>
      <c r="AA102" s="20"/>
      <c r="AB102" s="20"/>
      <c r="AC102" s="41">
        <v>795437332</v>
      </c>
      <c r="AD102" s="41">
        <v>346355670</v>
      </c>
      <c r="AE102" s="41">
        <v>178321618</v>
      </c>
      <c r="AF102" s="41">
        <v>296089794</v>
      </c>
      <c r="AG102" s="41">
        <v>385258153</v>
      </c>
      <c r="AH102" s="43">
        <v>524251071</v>
      </c>
      <c r="AI102" s="21"/>
    </row>
    <row r="103" spans="2:35" x14ac:dyDescent="0.3">
      <c r="B103" s="30"/>
      <c r="C103" s="23"/>
      <c r="D103" s="42" t="s">
        <v>36</v>
      </c>
      <c r="E103" s="41">
        <v>735441</v>
      </c>
      <c r="F103" s="41">
        <v>340576</v>
      </c>
      <c r="G103" s="41">
        <v>177064</v>
      </c>
      <c r="H103" s="41">
        <v>127204</v>
      </c>
      <c r="I103" s="41">
        <v>115391</v>
      </c>
      <c r="J103" s="41">
        <v>97432</v>
      </c>
      <c r="K103" s="20"/>
      <c r="L103" s="20"/>
      <c r="M103" s="41">
        <v>4257102</v>
      </c>
      <c r="N103" s="41">
        <v>2372420</v>
      </c>
      <c r="O103" s="41">
        <v>1118746</v>
      </c>
      <c r="P103" s="41">
        <v>1696928</v>
      </c>
      <c r="Q103" s="41">
        <v>620479</v>
      </c>
      <c r="R103" s="41">
        <v>515275</v>
      </c>
      <c r="S103" s="20"/>
      <c r="T103" s="20"/>
      <c r="U103" s="41">
        <v>67723733</v>
      </c>
      <c r="V103" s="41">
        <v>29605004</v>
      </c>
      <c r="W103" s="41">
        <v>17737961</v>
      </c>
      <c r="X103" s="41">
        <v>18877445</v>
      </c>
      <c r="Y103" s="41">
        <v>17012521</v>
      </c>
      <c r="Z103" s="41">
        <v>17369601</v>
      </c>
      <c r="AA103" s="20"/>
      <c r="AB103" s="20"/>
      <c r="AC103" s="41">
        <v>794797217</v>
      </c>
      <c r="AD103" s="41">
        <v>346608721</v>
      </c>
      <c r="AE103" s="41">
        <v>180545624</v>
      </c>
      <c r="AF103" s="41">
        <v>298674733</v>
      </c>
      <c r="AG103" s="41">
        <v>387773571</v>
      </c>
      <c r="AH103" s="43">
        <v>551357626</v>
      </c>
      <c r="AI103" s="21"/>
    </row>
    <row r="104" spans="2:35" x14ac:dyDescent="0.3">
      <c r="B104" s="30"/>
      <c r="C104" s="23"/>
      <c r="D104" s="42" t="s">
        <v>37</v>
      </c>
      <c r="E104" s="41">
        <v>754426</v>
      </c>
      <c r="F104" s="41">
        <v>353949</v>
      </c>
      <c r="G104" s="41">
        <v>181108</v>
      </c>
      <c r="H104" s="41">
        <v>125873</v>
      </c>
      <c r="I104" s="41">
        <v>109486</v>
      </c>
      <c r="J104" s="41">
        <v>104163</v>
      </c>
      <c r="K104" s="20"/>
      <c r="L104" s="20"/>
      <c r="M104" s="41">
        <v>4439898</v>
      </c>
      <c r="N104" s="41">
        <v>3317664</v>
      </c>
      <c r="O104" s="41">
        <v>1257314</v>
      </c>
      <c r="P104" s="41">
        <v>829795</v>
      </c>
      <c r="Q104" s="41">
        <v>736997</v>
      </c>
      <c r="R104" s="41">
        <v>526109</v>
      </c>
      <c r="S104" s="20"/>
      <c r="T104" s="20"/>
      <c r="U104" s="41">
        <v>68524801</v>
      </c>
      <c r="V104" s="41">
        <v>29779824</v>
      </c>
      <c r="W104" s="41">
        <v>17128215</v>
      </c>
      <c r="X104" s="41">
        <v>16489652</v>
      </c>
      <c r="Y104" s="41">
        <v>19122346</v>
      </c>
      <c r="Z104" s="41">
        <v>18721325</v>
      </c>
      <c r="AA104" s="20"/>
      <c r="AB104" s="20"/>
      <c r="AC104" s="41">
        <v>794420238</v>
      </c>
      <c r="AD104" s="41">
        <v>350709659</v>
      </c>
      <c r="AE104" s="41">
        <v>183902921</v>
      </c>
      <c r="AF104" s="41">
        <v>298301231</v>
      </c>
      <c r="AG104" s="41">
        <v>383885053</v>
      </c>
      <c r="AH104" s="43">
        <v>548750639</v>
      </c>
      <c r="AI104" s="21"/>
    </row>
    <row r="105" spans="2:35" x14ac:dyDescent="0.3">
      <c r="B105" s="30"/>
      <c r="C105" s="23"/>
      <c r="D105" s="42" t="s">
        <v>38</v>
      </c>
      <c r="E105" s="41">
        <v>741313</v>
      </c>
      <c r="F105" s="41">
        <v>343697</v>
      </c>
      <c r="G105" s="41">
        <v>173078</v>
      </c>
      <c r="H105" s="41">
        <v>160393</v>
      </c>
      <c r="I105" s="41">
        <v>109348</v>
      </c>
      <c r="J105" s="41">
        <v>79849</v>
      </c>
      <c r="K105" s="20"/>
      <c r="L105" s="20"/>
      <c r="M105" s="41">
        <v>4389268</v>
      </c>
      <c r="N105" s="41">
        <v>2313051</v>
      </c>
      <c r="O105" s="41">
        <v>1097856</v>
      </c>
      <c r="P105" s="41">
        <v>850621</v>
      </c>
      <c r="Q105" s="41">
        <v>712943</v>
      </c>
      <c r="R105" s="41">
        <v>519274</v>
      </c>
      <c r="S105" s="20"/>
      <c r="T105" s="20"/>
      <c r="U105" s="41">
        <v>67603446</v>
      </c>
      <c r="V105" s="41">
        <v>29521038</v>
      </c>
      <c r="W105" s="41">
        <v>19019756</v>
      </c>
      <c r="X105" s="41">
        <v>16644391</v>
      </c>
      <c r="Y105" s="41">
        <v>15201332</v>
      </c>
      <c r="Z105" s="41">
        <v>18846558</v>
      </c>
      <c r="AA105" s="20"/>
      <c r="AB105" s="20"/>
      <c r="AC105" s="41">
        <v>790178536</v>
      </c>
      <c r="AD105" s="41">
        <v>351742927</v>
      </c>
      <c r="AE105" s="41">
        <v>187440595</v>
      </c>
      <c r="AF105" s="41">
        <v>296457482</v>
      </c>
      <c r="AG105" s="41">
        <v>389645347</v>
      </c>
      <c r="AH105" s="43">
        <v>466938669</v>
      </c>
      <c r="AI105" s="21"/>
    </row>
    <row r="106" spans="2:35" x14ac:dyDescent="0.3">
      <c r="B106" s="30"/>
      <c r="C106" s="23"/>
      <c r="D106" s="42" t="s">
        <v>39</v>
      </c>
      <c r="E106" s="41">
        <v>718710</v>
      </c>
      <c r="F106" s="41">
        <v>346002</v>
      </c>
      <c r="G106" s="41">
        <v>176737</v>
      </c>
      <c r="H106" s="41">
        <v>134882</v>
      </c>
      <c r="I106" s="41">
        <v>107057</v>
      </c>
      <c r="J106" s="41">
        <v>117907</v>
      </c>
      <c r="K106" s="20"/>
      <c r="L106" s="20"/>
      <c r="M106" s="41">
        <v>4318923</v>
      </c>
      <c r="N106" s="41">
        <v>2180185</v>
      </c>
      <c r="O106" s="41">
        <v>1235921</v>
      </c>
      <c r="P106" s="41">
        <v>818618</v>
      </c>
      <c r="Q106" s="41">
        <v>697731</v>
      </c>
      <c r="R106" s="41">
        <v>517546</v>
      </c>
      <c r="S106" s="20"/>
      <c r="T106" s="20"/>
      <c r="U106" s="41">
        <v>89981408</v>
      </c>
      <c r="V106" s="41">
        <v>29494504</v>
      </c>
      <c r="W106" s="41">
        <v>16299928</v>
      </c>
      <c r="X106" s="41">
        <v>17226610</v>
      </c>
      <c r="Y106" s="41">
        <v>16633926</v>
      </c>
      <c r="Z106" s="41">
        <v>17171530</v>
      </c>
      <c r="AA106" s="20"/>
      <c r="AB106" s="20"/>
      <c r="AC106" s="41">
        <v>826559973</v>
      </c>
      <c r="AD106" s="41">
        <v>349104912</v>
      </c>
      <c r="AE106" s="41">
        <v>185516713</v>
      </c>
      <c r="AF106" s="41">
        <v>295018621</v>
      </c>
      <c r="AG106" s="41">
        <v>389062415</v>
      </c>
      <c r="AH106" s="43">
        <v>471924314</v>
      </c>
      <c r="AI106" s="21"/>
    </row>
    <row r="107" spans="2:35" ht="15" thickBot="1" x14ac:dyDescent="0.35">
      <c r="B107" s="30"/>
      <c r="C107" s="24"/>
      <c r="D107" s="37" t="s">
        <v>44</v>
      </c>
      <c r="E107" s="25" cm="1">
        <f t="array" ref="E107">ROUND(AVERAGE(IF((ISNUMBER(E77:E106))*(E77:E106&lt;LARGE(E77:E106,2))*(E77:E106&gt;SMALL(E77:E106,2)),E77:E106)),0)</f>
        <v>753171</v>
      </c>
      <c r="F107" s="25" cm="1">
        <f t="array" ref="F107">ROUND(AVERAGE(IF((ISNUMBER(F77:F106))*(F77:F106&lt;LARGE(F77:F106,2))*(F77:F106&gt;SMALL(F77:F106,2)),F77:F106)),0)</f>
        <v>349797</v>
      </c>
      <c r="G107" s="25" cm="1">
        <f t="array" ref="G107">ROUND(AVERAGE(IF((ISNUMBER(G77:G106))*(G77:G106&lt;LARGE(G77:G106,2))*(G77:G106&gt;SMALL(G77:G106,2)),G77:G106)),0)</f>
        <v>176261</v>
      </c>
      <c r="H107" s="25" cm="1">
        <f t="array" ref="H107">ROUND(AVERAGE(IF((ISNUMBER(H77:H106))*(H77:H106&lt;LARGE(H77:H106,2))*(H77:H106&gt;SMALL(H77:H106,2)),H77:H106)),0)</f>
        <v>138827</v>
      </c>
      <c r="I107" s="25" cm="1">
        <f t="array" ref="I107">ROUND(AVERAGE(IF((ISNUMBER(I77:I106))*(I77:I106&lt;LARGE(I77:I106,2))*(I77:I106&gt;SMALL(I77:I106,2)),I77:I106)),0)</f>
        <v>107008</v>
      </c>
      <c r="J107" s="25" cm="1">
        <f t="array" ref="J107">ROUND(AVERAGE(IF((ISNUMBER(J77:J106))*(J77:J106&lt;LARGE(J77:J106,2))*(J77:J106&gt;SMALL(J77:J106,2)),J77:J106)),0)</f>
        <v>105032</v>
      </c>
      <c r="K107" s="25"/>
      <c r="L107" s="25"/>
      <c r="M107" s="25" cm="1">
        <f t="array" ref="M107">ROUND(AVERAGE(IF((ISNUMBER(M77:M106))*(M77:M106&lt;LARGE(M77:M106,2))*(M77:M106&gt;SMALL(M77:M106,2)),M77:M106)),0)</f>
        <v>6987175</v>
      </c>
      <c r="N107" s="25" cm="1">
        <f t="array" ref="N107">ROUND(AVERAGE(IF((ISNUMBER(N77:N106))*(N77:N106&lt;LARGE(N77:N106,2))*(N77:N106&gt;SMALL(N77:N106,2)),N77:N106)),0)</f>
        <v>2320326</v>
      </c>
      <c r="O107" s="25" cm="1">
        <f t="array" ref="O107">ROUND(AVERAGE(IF((ISNUMBER(O77:O106))*(O77:O106&lt;LARGE(O77:O106,2))*(O77:O106&gt;SMALL(O77:O106,2)),O77:O106)),0)</f>
        <v>1369588</v>
      </c>
      <c r="P107" s="25" cm="1">
        <f t="array" ref="P107">ROUND(AVERAGE(IF((ISNUMBER(P77:P106))*(P77:P106&lt;LARGE(P77:P106,2))*(P77:P106&gt;SMALL(P77:P106,2)),P77:P106)),0)</f>
        <v>801438</v>
      </c>
      <c r="Q107" s="25" cm="1">
        <f t="array" ref="Q107">ROUND(AVERAGE(IF((ISNUMBER(Q77:Q106))*(Q77:Q106&lt;LARGE(Q77:Q106,2))*(Q77:Q106&gt;SMALL(Q77:Q106,2)),Q77:Q106)),0)</f>
        <v>630721</v>
      </c>
      <c r="R107" s="25" cm="1">
        <f t="array" ref="R107">ROUND(AVERAGE(IF((ISNUMBER(R77:R106))*(R77:R106&lt;LARGE(R77:R106,2))*(R77:R106&gt;SMALL(R77:R106,2)),R77:R106)),0)</f>
        <v>540053</v>
      </c>
      <c r="S107" s="25"/>
      <c r="T107" s="25"/>
      <c r="U107" s="25" cm="1">
        <f t="array" ref="U107">ROUND(AVERAGE(IF((ISNUMBER(U77:U106))*(U77:U106&lt;LARGE(U77:U106,2))*(U77:U106&gt;SMALL(U77:U106,2)),U77:U106)),0)</f>
        <v>78974150</v>
      </c>
      <c r="V107" s="25" cm="1">
        <f t="array" ref="V107">ROUND(AVERAGE(IF((ISNUMBER(V77:V106))*(V77:V106&lt;LARGE(V77:V106,2))*(V77:V106&gt;SMALL(V77:V106,2)),V77:V106)),0)</f>
        <v>29753177</v>
      </c>
      <c r="W107" s="25" cm="1">
        <f t="array" ref="W107">ROUND(AVERAGE(IF((ISNUMBER(W77:W106))*(W77:W106&lt;LARGE(W77:W106,2))*(W77:W106&gt;SMALL(W77:W106,2)),W77:W106)),0)</f>
        <v>18013864</v>
      </c>
      <c r="X107" s="25" cm="1">
        <f t="array" ref="X107">ROUND(AVERAGE(IF((ISNUMBER(X77:X106))*(X77:X106&lt;LARGE(X77:X106,2))*(X77:X106&gt;SMALL(X77:X106,2)),X77:X106)),0)</f>
        <v>17851352</v>
      </c>
      <c r="Y107" s="25" cm="1">
        <f t="array" ref="Y107">ROUND(AVERAGE(IF((ISNUMBER(Y77:Y106))*(Y77:Y106&lt;LARGE(Y77:Y106,2))*(Y77:Y106&gt;SMALL(Y77:Y106,2)),Y77:Y106)),0)</f>
        <v>17436182</v>
      </c>
      <c r="Z107" s="25" cm="1">
        <f t="array" ref="Z107">ROUND(AVERAGE(IF((ISNUMBER(Z77:Z106))*(Z77:Z106&lt;LARGE(Z77:Z106,2))*(Z77:Z106&gt;SMALL(Z77:Z106,2)),Z77:Z106)),0)</f>
        <v>17893752</v>
      </c>
      <c r="AA107" s="25"/>
      <c r="AB107" s="25"/>
      <c r="AC107" s="25" cm="1">
        <f t="array" ref="AC107">ROUND(AVERAGE(IF((ISNUMBER(AC77:AC106))*(AC77:AC106&lt;LARGE(AC77:AC106,2))*(AC77:AC106&gt;SMALL(AC77:AC106,2)),AC77:AC106)),0)</f>
        <v>812694049</v>
      </c>
      <c r="AD107" s="25" cm="1">
        <f t="array" ref="AD107">ROUND(AVERAGE(IF((ISNUMBER(AD77:AD106))*(AD77:AD106&lt;LARGE(AD77:AD106,2))*(AD77:AD106&gt;SMALL(AD77:AD106,2)),AD77:AD106)),0)</f>
        <v>349240722</v>
      </c>
      <c r="AE107" s="25" cm="1">
        <f t="array" ref="AE107">ROUND(AVERAGE(IF((ISNUMBER(AE77:AE106))*(AE77:AE106&lt;LARGE(AE77:AE106,2))*(AE77:AE106&gt;SMALL(AE77:AE106,2)),AE77:AE106)),0)</f>
        <v>186569232</v>
      </c>
      <c r="AF107" s="25" cm="1">
        <f t="array" ref="AF107">ROUND(AVERAGE(IF((ISNUMBER(AF77:AF106))*(AF77:AF106&lt;LARGE(AF77:AF106,2))*(AF77:AF106&gt;SMALL(AF77:AF106,2)),AF77:AF106)),0)</f>
        <v>296264845</v>
      </c>
      <c r="AG107" s="25" cm="1">
        <f t="array" ref="AG107">ROUND(AVERAGE(IF((ISNUMBER(AG77:AG106))*(AG77:AG106&lt;LARGE(AG77:AG106,2))*(AG77:AG106&gt;SMALL(AG77:AG106,2)),AG77:AG106)),0)</f>
        <v>382945670</v>
      </c>
      <c r="AH107" s="26" cm="1">
        <f t="array" ref="AH107">ROUND(AVERAGE(IF((ISNUMBER(AH77:AH106))*(AH77:AH106&lt;LARGE(AH77:AH106,2))*(AH77:AH106&gt;SMALL(AH77:AH106,2)),AH77:AH106)),0)</f>
        <v>530079275</v>
      </c>
      <c r="AI107" s="21"/>
    </row>
    <row r="108" spans="2:35" ht="15" thickBot="1" x14ac:dyDescent="0.35">
      <c r="B108" s="31"/>
      <c r="C108" s="28"/>
      <c r="D108" s="3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9"/>
    </row>
    <row r="109" spans="2:35" ht="15" thickBot="1" x14ac:dyDescent="0.35">
      <c r="B109" s="32"/>
      <c r="D109" s="1"/>
    </row>
    <row r="110" spans="2:35" ht="36.6" x14ac:dyDescent="0.7">
      <c r="B110" s="33" t="s">
        <v>43</v>
      </c>
      <c r="C110" s="15"/>
      <c r="D110" s="39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7"/>
    </row>
    <row r="111" spans="2:35" ht="15" thickBot="1" x14ac:dyDescent="0.35">
      <c r="B111" s="18"/>
      <c r="C111" s="19"/>
      <c r="D111" s="4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1"/>
    </row>
    <row r="112" spans="2:35" x14ac:dyDescent="0.3">
      <c r="B112" s="22"/>
      <c r="C112" s="44" t="s">
        <v>0</v>
      </c>
      <c r="D112" s="35"/>
      <c r="E112" s="35" t="s">
        <v>1</v>
      </c>
      <c r="F112" s="35" t="s">
        <v>2</v>
      </c>
      <c r="G112" s="35" t="s">
        <v>3</v>
      </c>
      <c r="H112" s="35" t="s">
        <v>4</v>
      </c>
      <c r="I112" s="35" t="s">
        <v>5</v>
      </c>
      <c r="J112" s="35" t="s">
        <v>6</v>
      </c>
      <c r="K112" s="46" t="s">
        <v>7</v>
      </c>
      <c r="L112" s="46"/>
      <c r="M112" s="35" t="s">
        <v>1</v>
      </c>
      <c r="N112" s="35" t="s">
        <v>2</v>
      </c>
      <c r="O112" s="35" t="s">
        <v>3</v>
      </c>
      <c r="P112" s="35" t="s">
        <v>4</v>
      </c>
      <c r="Q112" s="35" t="s">
        <v>5</v>
      </c>
      <c r="R112" s="35" t="s">
        <v>6</v>
      </c>
      <c r="S112" s="46" t="s">
        <v>8</v>
      </c>
      <c r="T112" s="46"/>
      <c r="U112" s="35" t="s">
        <v>1</v>
      </c>
      <c r="V112" s="35" t="s">
        <v>2</v>
      </c>
      <c r="W112" s="35" t="s">
        <v>3</v>
      </c>
      <c r="X112" s="35" t="s">
        <v>4</v>
      </c>
      <c r="Y112" s="35" t="s">
        <v>5</v>
      </c>
      <c r="Z112" s="35" t="s">
        <v>6</v>
      </c>
      <c r="AA112" s="46" t="s">
        <v>9</v>
      </c>
      <c r="AB112" s="46"/>
      <c r="AC112" s="35" t="s">
        <v>1</v>
      </c>
      <c r="AD112" s="35" t="s">
        <v>2</v>
      </c>
      <c r="AE112" s="35" t="s">
        <v>3</v>
      </c>
      <c r="AF112" s="35" t="s">
        <v>4</v>
      </c>
      <c r="AG112" s="35" t="s">
        <v>5</v>
      </c>
      <c r="AH112" s="36" t="s">
        <v>6</v>
      </c>
      <c r="AI112" s="21"/>
    </row>
    <row r="113" spans="2:35" x14ac:dyDescent="0.3">
      <c r="B113" s="22"/>
      <c r="C113" s="23"/>
      <c r="D113" s="42" t="s">
        <v>10</v>
      </c>
      <c r="E113" s="41">
        <v>172145</v>
      </c>
      <c r="F113" s="41">
        <v>82193</v>
      </c>
      <c r="G113" s="41">
        <v>39190</v>
      </c>
      <c r="H113" s="41">
        <v>38730</v>
      </c>
      <c r="I113" s="41">
        <v>44807</v>
      </c>
      <c r="J113" s="41">
        <v>42175</v>
      </c>
      <c r="K113" s="20"/>
      <c r="L113" s="20"/>
      <c r="M113" s="41">
        <v>1833381</v>
      </c>
      <c r="N113" s="41">
        <v>482028</v>
      </c>
      <c r="O113" s="41">
        <v>243897</v>
      </c>
      <c r="P113" s="41">
        <v>147381</v>
      </c>
      <c r="Q113" s="41">
        <v>118429</v>
      </c>
      <c r="R113" s="41">
        <v>94641</v>
      </c>
      <c r="S113" s="20"/>
      <c r="T113" s="20"/>
      <c r="U113" s="41">
        <v>8748887</v>
      </c>
      <c r="V113" s="41">
        <v>6957432</v>
      </c>
      <c r="W113" s="41">
        <v>3093679</v>
      </c>
      <c r="X113" s="41">
        <v>2182907</v>
      </c>
      <c r="Y113" s="41">
        <v>1611147</v>
      </c>
      <c r="Z113" s="41">
        <v>2896441</v>
      </c>
      <c r="AA113" s="20"/>
      <c r="AB113" s="20"/>
      <c r="AC113" s="41">
        <v>83129731</v>
      </c>
      <c r="AD113" s="41">
        <v>51087834</v>
      </c>
      <c r="AE113" s="41">
        <v>25956146</v>
      </c>
      <c r="AF113" s="41">
        <v>19727233</v>
      </c>
      <c r="AG113" s="41">
        <v>16591125</v>
      </c>
      <c r="AH113" s="43">
        <v>29300208</v>
      </c>
      <c r="AI113" s="21"/>
    </row>
    <row r="114" spans="2:35" x14ac:dyDescent="0.3">
      <c r="B114" s="22"/>
      <c r="C114" s="23"/>
      <c r="D114" s="42" t="s">
        <v>11</v>
      </c>
      <c r="E114" s="41">
        <v>166123</v>
      </c>
      <c r="F114" s="41">
        <v>81070</v>
      </c>
      <c r="G114" s="41">
        <v>40446</v>
      </c>
      <c r="H114" s="41">
        <v>31967</v>
      </c>
      <c r="I114" s="41">
        <v>40710</v>
      </c>
      <c r="J114" s="41">
        <v>35612</v>
      </c>
      <c r="K114" s="20"/>
      <c r="L114" s="20"/>
      <c r="M114" s="41">
        <v>2634595</v>
      </c>
      <c r="N114" s="41">
        <v>490759</v>
      </c>
      <c r="O114" s="41">
        <v>243924</v>
      </c>
      <c r="P114" s="41">
        <v>162766</v>
      </c>
      <c r="Q114" s="41">
        <v>121326</v>
      </c>
      <c r="R114" s="41">
        <v>94152</v>
      </c>
      <c r="S114" s="20"/>
      <c r="T114" s="20"/>
      <c r="U114" s="41">
        <v>11169604</v>
      </c>
      <c r="V114" s="41">
        <v>7086637</v>
      </c>
      <c r="W114" s="41">
        <v>3021371</v>
      </c>
      <c r="X114" s="41">
        <v>2125571</v>
      </c>
      <c r="Y114" s="41">
        <v>1581572</v>
      </c>
      <c r="Z114" s="41">
        <v>3690705</v>
      </c>
      <c r="AA114" s="20"/>
      <c r="AB114" s="20"/>
      <c r="AC114" s="41">
        <v>84456467</v>
      </c>
      <c r="AD114" s="41">
        <v>50010490</v>
      </c>
      <c r="AE114" s="41">
        <v>27420573</v>
      </c>
      <c r="AF114" s="41">
        <v>21654795</v>
      </c>
      <c r="AG114" s="41">
        <v>16540835</v>
      </c>
      <c r="AH114" s="43">
        <v>42487954</v>
      </c>
      <c r="AI114" s="21"/>
    </row>
    <row r="115" spans="2:35" x14ac:dyDescent="0.3">
      <c r="B115" s="22"/>
      <c r="C115" s="23"/>
      <c r="D115" s="42" t="s">
        <v>12</v>
      </c>
      <c r="E115" s="41">
        <v>175490</v>
      </c>
      <c r="F115" s="41">
        <v>76594</v>
      </c>
      <c r="G115" s="41">
        <v>40252</v>
      </c>
      <c r="H115" s="41">
        <v>38249</v>
      </c>
      <c r="I115" s="41">
        <v>33623</v>
      </c>
      <c r="J115" s="41">
        <v>23720</v>
      </c>
      <c r="K115" s="20"/>
      <c r="L115" s="20"/>
      <c r="M115" s="41">
        <v>1944707</v>
      </c>
      <c r="N115" s="41">
        <v>527721</v>
      </c>
      <c r="O115" s="41">
        <v>240607</v>
      </c>
      <c r="P115" s="41">
        <v>155939</v>
      </c>
      <c r="Q115" s="41">
        <v>122536</v>
      </c>
      <c r="R115" s="41">
        <v>131297</v>
      </c>
      <c r="S115" s="20"/>
      <c r="T115" s="20"/>
      <c r="U115" s="41">
        <v>10481485</v>
      </c>
      <c r="V115" s="41">
        <v>6087955</v>
      </c>
      <c r="W115" s="41">
        <v>3032010</v>
      </c>
      <c r="X115" s="41">
        <v>2056443</v>
      </c>
      <c r="Y115" s="41">
        <v>1570996</v>
      </c>
      <c r="Z115" s="41">
        <v>3270021</v>
      </c>
      <c r="AA115" s="20"/>
      <c r="AB115" s="20"/>
      <c r="AC115" s="41">
        <v>83186801</v>
      </c>
      <c r="AD115" s="41">
        <v>51742782</v>
      </c>
      <c r="AE115" s="41">
        <v>33739759</v>
      </c>
      <c r="AF115" s="41">
        <v>20517023</v>
      </c>
      <c r="AG115" s="41">
        <v>16800133</v>
      </c>
      <c r="AH115" s="43">
        <v>36630726</v>
      </c>
      <c r="AI115" s="21"/>
    </row>
    <row r="116" spans="2:35" x14ac:dyDescent="0.3">
      <c r="B116" s="22"/>
      <c r="C116" s="23"/>
      <c r="D116" s="42" t="s">
        <v>13</v>
      </c>
      <c r="E116" s="41">
        <v>160777</v>
      </c>
      <c r="F116" s="41">
        <v>80055</v>
      </c>
      <c r="G116" s="41">
        <v>39288</v>
      </c>
      <c r="H116" s="41">
        <v>36539</v>
      </c>
      <c r="I116" s="41">
        <v>26557</v>
      </c>
      <c r="J116" s="41">
        <v>28214</v>
      </c>
      <c r="K116" s="20"/>
      <c r="L116" s="20"/>
      <c r="M116" s="41">
        <v>1764932</v>
      </c>
      <c r="N116" s="41">
        <v>485581</v>
      </c>
      <c r="O116" s="41">
        <v>1288371</v>
      </c>
      <c r="P116" s="41">
        <v>154370</v>
      </c>
      <c r="Q116" s="41">
        <v>118678</v>
      </c>
      <c r="R116" s="41">
        <v>94849</v>
      </c>
      <c r="S116" s="20"/>
      <c r="T116" s="20"/>
      <c r="U116" s="41">
        <v>11223739</v>
      </c>
      <c r="V116" s="41">
        <v>6041282</v>
      </c>
      <c r="W116" s="41">
        <v>3136440</v>
      </c>
      <c r="X116" s="41">
        <v>2176814</v>
      </c>
      <c r="Y116" s="41">
        <v>1587079</v>
      </c>
      <c r="Z116" s="41">
        <v>3594713</v>
      </c>
      <c r="AA116" s="20"/>
      <c r="AB116" s="20"/>
      <c r="AC116" s="41">
        <v>88792116</v>
      </c>
      <c r="AD116" s="41">
        <v>51184635</v>
      </c>
      <c r="AE116" s="41">
        <v>24922043</v>
      </c>
      <c r="AF116" s="41">
        <v>22192403</v>
      </c>
      <c r="AG116" s="41">
        <v>16654208</v>
      </c>
      <c r="AH116" s="43">
        <v>35043206</v>
      </c>
      <c r="AI116" s="21"/>
    </row>
    <row r="117" spans="2:35" x14ac:dyDescent="0.3">
      <c r="B117" s="22"/>
      <c r="C117" s="23"/>
      <c r="D117" s="42" t="s">
        <v>14</v>
      </c>
      <c r="E117" s="41">
        <v>164309</v>
      </c>
      <c r="F117" s="41">
        <v>78421</v>
      </c>
      <c r="G117" s="41">
        <v>39943</v>
      </c>
      <c r="H117" s="41">
        <v>38118</v>
      </c>
      <c r="I117" s="41">
        <v>26133</v>
      </c>
      <c r="J117" s="41">
        <v>21054</v>
      </c>
      <c r="K117" s="20"/>
      <c r="L117" s="20"/>
      <c r="M117" s="41">
        <v>1800434</v>
      </c>
      <c r="N117" s="41">
        <v>484249</v>
      </c>
      <c r="O117" s="41">
        <v>387415</v>
      </c>
      <c r="P117" s="41">
        <v>152379</v>
      </c>
      <c r="Q117" s="41">
        <v>224590</v>
      </c>
      <c r="R117" s="41">
        <v>98425</v>
      </c>
      <c r="S117" s="20"/>
      <c r="T117" s="20"/>
      <c r="U117" s="41">
        <v>10951629</v>
      </c>
      <c r="V117" s="41">
        <v>6027563</v>
      </c>
      <c r="W117" s="41">
        <v>3184887</v>
      </c>
      <c r="X117" s="41">
        <v>2095725</v>
      </c>
      <c r="Y117" s="41">
        <v>1641272</v>
      </c>
      <c r="Z117" s="41">
        <v>3180270</v>
      </c>
      <c r="AA117" s="20"/>
      <c r="AB117" s="20"/>
      <c r="AC117" s="41">
        <v>88486659</v>
      </c>
      <c r="AD117" s="41">
        <v>50564098</v>
      </c>
      <c r="AE117" s="41">
        <v>26984345</v>
      </c>
      <c r="AF117" s="41">
        <v>18913145</v>
      </c>
      <c r="AG117" s="41">
        <v>16564016</v>
      </c>
      <c r="AH117" s="43">
        <v>39744485</v>
      </c>
      <c r="AI117" s="21"/>
    </row>
    <row r="118" spans="2:35" x14ac:dyDescent="0.3">
      <c r="B118" s="22"/>
      <c r="C118" s="23"/>
      <c r="D118" s="42" t="s">
        <v>15</v>
      </c>
      <c r="E118" s="41">
        <v>180788</v>
      </c>
      <c r="F118" s="41">
        <v>79388</v>
      </c>
      <c r="G118" s="41">
        <v>39609</v>
      </c>
      <c r="H118" s="41">
        <v>57113</v>
      </c>
      <c r="I118" s="41">
        <v>34048</v>
      </c>
      <c r="J118" s="41">
        <v>37169</v>
      </c>
      <c r="K118" s="20"/>
      <c r="L118" s="20"/>
      <c r="M118" s="41">
        <v>1730122</v>
      </c>
      <c r="N118" s="41">
        <v>464273</v>
      </c>
      <c r="O118" s="41">
        <v>515053</v>
      </c>
      <c r="P118" s="41">
        <v>164292</v>
      </c>
      <c r="Q118" s="41">
        <v>135241</v>
      </c>
      <c r="R118" s="41">
        <v>97325</v>
      </c>
      <c r="S118" s="20"/>
      <c r="T118" s="20"/>
      <c r="U118" s="41">
        <v>10348070</v>
      </c>
      <c r="V118" s="41">
        <v>6205114</v>
      </c>
      <c r="W118" s="41">
        <v>3057937</v>
      </c>
      <c r="X118" s="41">
        <v>2187372</v>
      </c>
      <c r="Y118" s="41">
        <v>1602458</v>
      </c>
      <c r="Z118" s="41">
        <v>3075579</v>
      </c>
      <c r="AA118" s="20"/>
      <c r="AB118" s="20"/>
      <c r="AC118" s="41">
        <v>88550261</v>
      </c>
      <c r="AD118" s="41">
        <v>52017293</v>
      </c>
      <c r="AE118" s="41">
        <v>26834667</v>
      </c>
      <c r="AF118" s="41">
        <v>22104434</v>
      </c>
      <c r="AG118" s="41">
        <v>16505146</v>
      </c>
      <c r="AH118" s="43">
        <v>34177231</v>
      </c>
      <c r="AI118" s="21"/>
    </row>
    <row r="119" spans="2:35" x14ac:dyDescent="0.3">
      <c r="B119" s="22"/>
      <c r="C119" s="23"/>
      <c r="D119" s="42" t="s">
        <v>16</v>
      </c>
      <c r="E119" s="41">
        <v>165438</v>
      </c>
      <c r="F119" s="41">
        <v>78651</v>
      </c>
      <c r="G119" s="41">
        <v>40306</v>
      </c>
      <c r="H119" s="41">
        <v>31722</v>
      </c>
      <c r="I119" s="41">
        <v>33604</v>
      </c>
      <c r="J119" s="41">
        <v>19458</v>
      </c>
      <c r="K119" s="20"/>
      <c r="L119" s="20"/>
      <c r="M119" s="41">
        <v>2306260</v>
      </c>
      <c r="N119" s="41">
        <v>528033</v>
      </c>
      <c r="O119" s="41">
        <v>445325</v>
      </c>
      <c r="P119" s="41">
        <v>153165</v>
      </c>
      <c r="Q119" s="41">
        <v>121719</v>
      </c>
      <c r="R119" s="41">
        <v>95572</v>
      </c>
      <c r="S119" s="20"/>
      <c r="T119" s="20"/>
      <c r="U119" s="41">
        <v>10260495</v>
      </c>
      <c r="V119" s="41">
        <v>6101313</v>
      </c>
      <c r="W119" s="41">
        <v>3040650</v>
      </c>
      <c r="X119" s="41">
        <v>2215518</v>
      </c>
      <c r="Y119" s="41">
        <v>1659036</v>
      </c>
      <c r="Z119" s="41">
        <v>3017080</v>
      </c>
      <c r="AA119" s="20"/>
      <c r="AB119" s="20"/>
      <c r="AC119" s="41">
        <v>88966880</v>
      </c>
      <c r="AD119" s="41">
        <v>53538453</v>
      </c>
      <c r="AE119" s="41">
        <v>28505443</v>
      </c>
      <c r="AF119" s="41">
        <v>21106988</v>
      </c>
      <c r="AG119" s="41">
        <v>16642633</v>
      </c>
      <c r="AH119" s="43">
        <v>28204491</v>
      </c>
      <c r="AI119" s="21"/>
    </row>
    <row r="120" spans="2:35" x14ac:dyDescent="0.3">
      <c r="B120" s="22"/>
      <c r="C120" s="23"/>
      <c r="D120" s="42" t="s">
        <v>17</v>
      </c>
      <c r="E120" s="41">
        <v>170283</v>
      </c>
      <c r="F120" s="41">
        <v>80353</v>
      </c>
      <c r="G120" s="41">
        <v>39786</v>
      </c>
      <c r="H120" s="41">
        <v>37031</v>
      </c>
      <c r="I120" s="41">
        <v>26278</v>
      </c>
      <c r="J120" s="41">
        <v>19774</v>
      </c>
      <c r="K120" s="20"/>
      <c r="L120" s="20"/>
      <c r="M120" s="41">
        <v>1753723</v>
      </c>
      <c r="N120" s="41">
        <v>474395</v>
      </c>
      <c r="O120" s="41">
        <v>637276</v>
      </c>
      <c r="P120" s="41">
        <v>161859</v>
      </c>
      <c r="Q120" s="41">
        <v>126075</v>
      </c>
      <c r="R120" s="41">
        <v>97273</v>
      </c>
      <c r="S120" s="20"/>
      <c r="T120" s="20"/>
      <c r="U120" s="41">
        <v>9528169</v>
      </c>
      <c r="V120" s="41">
        <v>6156005</v>
      </c>
      <c r="W120" s="41">
        <v>3220818</v>
      </c>
      <c r="X120" s="41">
        <v>2326175</v>
      </c>
      <c r="Y120" s="41">
        <v>2279822</v>
      </c>
      <c r="Z120" s="41">
        <v>2820495</v>
      </c>
      <c r="AA120" s="20"/>
      <c r="AB120" s="20"/>
      <c r="AC120" s="41">
        <v>89197792</v>
      </c>
      <c r="AD120" s="41">
        <v>52679778</v>
      </c>
      <c r="AE120" s="41">
        <v>24102744</v>
      </c>
      <c r="AF120" s="41">
        <v>22623191</v>
      </c>
      <c r="AG120" s="41">
        <v>16454515</v>
      </c>
      <c r="AH120" s="43">
        <v>27778240</v>
      </c>
      <c r="AI120" s="21"/>
    </row>
    <row r="121" spans="2:35" x14ac:dyDescent="0.3">
      <c r="B121" s="22"/>
      <c r="C121" s="23"/>
      <c r="D121" s="42" t="s">
        <v>18</v>
      </c>
      <c r="E121" s="41">
        <v>164714</v>
      </c>
      <c r="F121" s="41">
        <v>80597</v>
      </c>
      <c r="G121" s="41">
        <v>33390</v>
      </c>
      <c r="H121" s="41">
        <v>30961</v>
      </c>
      <c r="I121" s="41">
        <v>44971</v>
      </c>
      <c r="J121" s="41">
        <v>39985</v>
      </c>
      <c r="K121" s="20"/>
      <c r="L121" s="20"/>
      <c r="M121" s="41">
        <v>1698846</v>
      </c>
      <c r="N121" s="41">
        <v>522360</v>
      </c>
      <c r="O121" s="41">
        <v>318953</v>
      </c>
      <c r="P121" s="41">
        <v>151478</v>
      </c>
      <c r="Q121" s="41">
        <v>129211</v>
      </c>
      <c r="R121" s="41">
        <v>80275</v>
      </c>
      <c r="S121" s="20"/>
      <c r="T121" s="20"/>
      <c r="U121" s="41">
        <v>10470577</v>
      </c>
      <c r="V121" s="41">
        <v>6070491</v>
      </c>
      <c r="W121" s="41">
        <v>3393858</v>
      </c>
      <c r="X121" s="41">
        <v>2191953</v>
      </c>
      <c r="Y121" s="41">
        <v>1603628</v>
      </c>
      <c r="Z121" s="41">
        <v>2983758</v>
      </c>
      <c r="AA121" s="20"/>
      <c r="AB121" s="20"/>
      <c r="AC121" s="41">
        <v>88807737</v>
      </c>
      <c r="AD121" s="41">
        <v>53121767</v>
      </c>
      <c r="AE121" s="41">
        <v>27444402</v>
      </c>
      <c r="AF121" s="41">
        <v>19279898</v>
      </c>
      <c r="AG121" s="41">
        <v>16474940</v>
      </c>
      <c r="AH121" s="43">
        <v>28404218</v>
      </c>
      <c r="AI121" s="21"/>
    </row>
    <row r="122" spans="2:35" x14ac:dyDescent="0.3">
      <c r="B122" s="22"/>
      <c r="C122" s="23"/>
      <c r="D122" s="42" t="s">
        <v>19</v>
      </c>
      <c r="E122" s="41">
        <v>157507</v>
      </c>
      <c r="F122" s="41">
        <v>78419</v>
      </c>
      <c r="G122" s="41">
        <v>35913</v>
      </c>
      <c r="H122" s="41">
        <v>36320</v>
      </c>
      <c r="I122" s="41">
        <v>34931</v>
      </c>
      <c r="J122" s="41">
        <v>51057</v>
      </c>
      <c r="K122" s="20"/>
      <c r="L122" s="20"/>
      <c r="M122" s="41">
        <v>1656190</v>
      </c>
      <c r="N122" s="41">
        <v>470597</v>
      </c>
      <c r="O122" s="41">
        <v>298464</v>
      </c>
      <c r="P122" s="41">
        <v>150862</v>
      </c>
      <c r="Q122" s="41">
        <v>134970</v>
      </c>
      <c r="R122" s="41">
        <v>84589</v>
      </c>
      <c r="S122" s="20"/>
      <c r="T122" s="20"/>
      <c r="U122" s="41">
        <v>10509820</v>
      </c>
      <c r="V122" s="41">
        <v>6821913</v>
      </c>
      <c r="W122" s="41">
        <v>3068423</v>
      </c>
      <c r="X122" s="41">
        <v>2110681</v>
      </c>
      <c r="Y122" s="41">
        <v>1616655</v>
      </c>
      <c r="Z122" s="41">
        <v>3029719</v>
      </c>
      <c r="AA122" s="20"/>
      <c r="AB122" s="20"/>
      <c r="AC122" s="41">
        <v>88969706</v>
      </c>
      <c r="AD122" s="41">
        <v>52579395</v>
      </c>
      <c r="AE122" s="41">
        <v>27006840</v>
      </c>
      <c r="AF122" s="41">
        <v>22472512</v>
      </c>
      <c r="AG122" s="41">
        <v>16280389</v>
      </c>
      <c r="AH122" s="43">
        <v>28286470</v>
      </c>
      <c r="AI122" s="21"/>
    </row>
    <row r="123" spans="2:35" x14ac:dyDescent="0.3">
      <c r="B123" s="22"/>
      <c r="C123" s="23"/>
      <c r="D123" s="42" t="s">
        <v>20</v>
      </c>
      <c r="E123" s="41">
        <v>171303</v>
      </c>
      <c r="F123" s="41">
        <v>80851</v>
      </c>
      <c r="G123" s="41">
        <v>39344</v>
      </c>
      <c r="H123" s="41">
        <v>53277</v>
      </c>
      <c r="I123" s="41">
        <v>25657</v>
      </c>
      <c r="J123" s="41">
        <v>20492</v>
      </c>
      <c r="K123" s="20"/>
      <c r="L123" s="20"/>
      <c r="M123" s="41">
        <v>1812276</v>
      </c>
      <c r="N123" s="41">
        <v>515628</v>
      </c>
      <c r="O123" s="41">
        <v>265099</v>
      </c>
      <c r="P123" s="41">
        <v>152971</v>
      </c>
      <c r="Q123" s="41">
        <v>139487</v>
      </c>
      <c r="R123" s="41">
        <v>94817</v>
      </c>
      <c r="S123" s="20"/>
      <c r="T123" s="20"/>
      <c r="U123" s="41">
        <v>11186114</v>
      </c>
      <c r="V123" s="41">
        <v>6474908</v>
      </c>
      <c r="W123" s="41">
        <v>3125231</v>
      </c>
      <c r="X123" s="41">
        <v>2136547</v>
      </c>
      <c r="Y123" s="41">
        <v>1692681</v>
      </c>
      <c r="Z123" s="41">
        <v>3732502</v>
      </c>
      <c r="AA123" s="20"/>
      <c r="AB123" s="20"/>
      <c r="AC123" s="41">
        <v>89536278</v>
      </c>
      <c r="AD123" s="41">
        <v>51784460</v>
      </c>
      <c r="AE123" s="41">
        <v>28087676</v>
      </c>
      <c r="AF123" s="41">
        <v>19340911</v>
      </c>
      <c r="AG123" s="41">
        <v>16787794</v>
      </c>
      <c r="AH123" s="43">
        <v>26675639</v>
      </c>
      <c r="AI123" s="21"/>
    </row>
    <row r="124" spans="2:35" x14ac:dyDescent="0.3">
      <c r="B124" s="22"/>
      <c r="C124" s="23"/>
      <c r="D124" s="42" t="s">
        <v>21</v>
      </c>
      <c r="E124" s="41">
        <v>157786</v>
      </c>
      <c r="F124" s="41">
        <v>81205</v>
      </c>
      <c r="G124" s="41">
        <v>39324</v>
      </c>
      <c r="H124" s="41">
        <v>67689</v>
      </c>
      <c r="I124" s="41">
        <v>26214</v>
      </c>
      <c r="J124" s="41">
        <v>41407</v>
      </c>
      <c r="K124" s="20"/>
      <c r="L124" s="20"/>
      <c r="M124" s="41">
        <v>2259051</v>
      </c>
      <c r="N124" s="41">
        <v>518724</v>
      </c>
      <c r="O124" s="41">
        <v>255705</v>
      </c>
      <c r="P124" s="41">
        <v>159247</v>
      </c>
      <c r="Q124" s="41">
        <v>137833</v>
      </c>
      <c r="R124" s="41">
        <v>97340</v>
      </c>
      <c r="S124" s="20"/>
      <c r="T124" s="20"/>
      <c r="U124" s="41">
        <v>10382361</v>
      </c>
      <c r="V124" s="41">
        <v>6076866</v>
      </c>
      <c r="W124" s="41">
        <v>3137117</v>
      </c>
      <c r="X124" s="41">
        <v>1999829</v>
      </c>
      <c r="Y124" s="41">
        <v>1644970</v>
      </c>
      <c r="Z124" s="41">
        <v>3153766</v>
      </c>
      <c r="AA124" s="20"/>
      <c r="AB124" s="20"/>
      <c r="AC124" s="41">
        <v>88868917</v>
      </c>
      <c r="AD124" s="41">
        <v>49483970</v>
      </c>
      <c r="AE124" s="41">
        <v>25728288</v>
      </c>
      <c r="AF124" s="41">
        <v>20367573</v>
      </c>
      <c r="AG124" s="41">
        <v>16765673</v>
      </c>
      <c r="AH124" s="43">
        <v>28314944</v>
      </c>
      <c r="AI124" s="21"/>
    </row>
    <row r="125" spans="2:35" x14ac:dyDescent="0.3">
      <c r="B125" s="22"/>
      <c r="C125" s="23"/>
      <c r="D125" s="42" t="s">
        <v>22</v>
      </c>
      <c r="E125" s="41">
        <v>183632</v>
      </c>
      <c r="F125" s="41">
        <v>79044</v>
      </c>
      <c r="G125" s="41">
        <v>51391</v>
      </c>
      <c r="H125" s="41">
        <v>33819</v>
      </c>
      <c r="I125" s="41">
        <v>27529</v>
      </c>
      <c r="J125" s="41">
        <v>32726</v>
      </c>
      <c r="K125" s="20"/>
      <c r="L125" s="20"/>
      <c r="M125" s="41">
        <v>1208611</v>
      </c>
      <c r="N125" s="41">
        <v>531538</v>
      </c>
      <c r="O125" s="41">
        <v>248344</v>
      </c>
      <c r="P125" s="41">
        <v>150249</v>
      </c>
      <c r="Q125" s="41">
        <v>130616</v>
      </c>
      <c r="R125" s="41">
        <v>94006</v>
      </c>
      <c r="S125" s="20"/>
      <c r="T125" s="20"/>
      <c r="U125" s="41">
        <v>10566131</v>
      </c>
      <c r="V125" s="41">
        <v>6275210</v>
      </c>
      <c r="W125" s="41">
        <v>3207184</v>
      </c>
      <c r="X125" s="41">
        <v>2091341</v>
      </c>
      <c r="Y125" s="41">
        <v>1603839</v>
      </c>
      <c r="Z125" s="41">
        <v>2918103</v>
      </c>
      <c r="AA125" s="20"/>
      <c r="AB125" s="20"/>
      <c r="AC125" s="41">
        <v>88893879</v>
      </c>
      <c r="AD125" s="41">
        <v>50983616</v>
      </c>
      <c r="AE125" s="41">
        <v>23534310</v>
      </c>
      <c r="AF125" s="41">
        <v>19138293</v>
      </c>
      <c r="AG125" s="41">
        <v>16444598</v>
      </c>
      <c r="AH125" s="43">
        <v>28194494</v>
      </c>
      <c r="AI125" s="21"/>
    </row>
    <row r="126" spans="2:35" x14ac:dyDescent="0.3">
      <c r="B126" s="22"/>
      <c r="C126" s="23"/>
      <c r="D126" s="42" t="s">
        <v>23</v>
      </c>
      <c r="E126" s="41">
        <v>223907</v>
      </c>
      <c r="F126" s="41">
        <v>79758</v>
      </c>
      <c r="G126" s="41">
        <v>42341</v>
      </c>
      <c r="H126" s="41">
        <v>34438</v>
      </c>
      <c r="I126" s="41">
        <v>38042</v>
      </c>
      <c r="J126" s="41">
        <v>25048</v>
      </c>
      <c r="K126" s="20"/>
      <c r="L126" s="20"/>
      <c r="M126" s="41">
        <v>1819913</v>
      </c>
      <c r="N126" s="41">
        <v>494001</v>
      </c>
      <c r="O126" s="41">
        <v>275689</v>
      </c>
      <c r="P126" s="41">
        <v>166922</v>
      </c>
      <c r="Q126" s="41">
        <v>131625</v>
      </c>
      <c r="R126" s="41">
        <v>90583</v>
      </c>
      <c r="S126" s="20"/>
      <c r="T126" s="20"/>
      <c r="U126" s="41">
        <v>10934097</v>
      </c>
      <c r="V126" s="41">
        <v>6006721</v>
      </c>
      <c r="W126" s="41">
        <v>3408572</v>
      </c>
      <c r="X126" s="41">
        <v>1998285</v>
      </c>
      <c r="Y126" s="41">
        <v>1638053</v>
      </c>
      <c r="Z126" s="41">
        <v>2966283</v>
      </c>
      <c r="AA126" s="20"/>
      <c r="AB126" s="20"/>
      <c r="AC126" s="41">
        <v>89445509</v>
      </c>
      <c r="AD126" s="41">
        <v>49470213</v>
      </c>
      <c r="AE126" s="41">
        <v>28063271</v>
      </c>
      <c r="AF126" s="41">
        <v>23269172</v>
      </c>
      <c r="AG126" s="41">
        <v>16277785</v>
      </c>
      <c r="AH126" s="43">
        <v>28444788</v>
      </c>
      <c r="AI126" s="21"/>
    </row>
    <row r="127" spans="2:35" x14ac:dyDescent="0.3">
      <c r="B127" s="22"/>
      <c r="C127" s="23"/>
      <c r="D127" s="42" t="s">
        <v>24</v>
      </c>
      <c r="E127" s="41">
        <v>189029</v>
      </c>
      <c r="F127" s="41">
        <v>79026</v>
      </c>
      <c r="G127" s="41">
        <v>40980</v>
      </c>
      <c r="H127" s="41">
        <v>34959</v>
      </c>
      <c r="I127" s="41">
        <v>25841</v>
      </c>
      <c r="J127" s="41">
        <v>19833</v>
      </c>
      <c r="K127" s="20"/>
      <c r="L127" s="20"/>
      <c r="M127" s="41">
        <v>1112451</v>
      </c>
      <c r="N127" s="41">
        <v>478485</v>
      </c>
      <c r="O127" s="41">
        <v>236788</v>
      </c>
      <c r="P127" s="41">
        <v>165101</v>
      </c>
      <c r="Q127" s="41">
        <v>136213</v>
      </c>
      <c r="R127" s="41">
        <v>95386</v>
      </c>
      <c r="S127" s="20"/>
      <c r="T127" s="20"/>
      <c r="U127" s="41">
        <v>10706783</v>
      </c>
      <c r="V127" s="41">
        <v>6193987</v>
      </c>
      <c r="W127" s="41">
        <v>3207491</v>
      </c>
      <c r="X127" s="41">
        <v>2067748</v>
      </c>
      <c r="Y127" s="41">
        <v>2268599</v>
      </c>
      <c r="Z127" s="41">
        <v>2995648</v>
      </c>
      <c r="AA127" s="20"/>
      <c r="AB127" s="20"/>
      <c r="AC127" s="41">
        <v>77510745</v>
      </c>
      <c r="AD127" s="41">
        <v>49330862</v>
      </c>
      <c r="AE127" s="41">
        <v>24666591</v>
      </c>
      <c r="AF127" s="41">
        <v>20411113</v>
      </c>
      <c r="AG127" s="41">
        <v>16910106</v>
      </c>
      <c r="AH127" s="43">
        <v>27789675</v>
      </c>
      <c r="AI127" s="21"/>
    </row>
    <row r="128" spans="2:35" x14ac:dyDescent="0.3">
      <c r="B128" s="22"/>
      <c r="C128" s="23"/>
      <c r="D128" s="42" t="s">
        <v>25</v>
      </c>
      <c r="E128" s="41">
        <v>179164</v>
      </c>
      <c r="F128" s="41">
        <v>78251</v>
      </c>
      <c r="G128" s="41">
        <v>40099</v>
      </c>
      <c r="H128" s="41">
        <v>37234</v>
      </c>
      <c r="I128" s="41">
        <v>26769</v>
      </c>
      <c r="J128" s="41">
        <v>36950</v>
      </c>
      <c r="K128" s="20"/>
      <c r="L128" s="20"/>
      <c r="M128" s="41">
        <v>1090717</v>
      </c>
      <c r="N128" s="41">
        <v>489952</v>
      </c>
      <c r="O128" s="41">
        <v>342485</v>
      </c>
      <c r="P128" s="41">
        <v>159456</v>
      </c>
      <c r="Q128" s="41">
        <v>128502</v>
      </c>
      <c r="R128" s="41">
        <v>127626</v>
      </c>
      <c r="S128" s="20"/>
      <c r="T128" s="20"/>
      <c r="U128" s="41">
        <v>10296723</v>
      </c>
      <c r="V128" s="41">
        <v>6105225</v>
      </c>
      <c r="W128" s="41">
        <v>3056874</v>
      </c>
      <c r="X128" s="41">
        <v>2226264</v>
      </c>
      <c r="Y128" s="41">
        <v>1619863</v>
      </c>
      <c r="Z128" s="41">
        <v>2901458</v>
      </c>
      <c r="AA128" s="20"/>
      <c r="AB128" s="20"/>
      <c r="AC128" s="41">
        <v>79498119</v>
      </c>
      <c r="AD128" s="41">
        <v>49580043</v>
      </c>
      <c r="AE128" s="41">
        <v>27693082</v>
      </c>
      <c r="AF128" s="41">
        <v>20072624</v>
      </c>
      <c r="AG128" s="41">
        <v>16616264</v>
      </c>
      <c r="AH128" s="43">
        <v>26891865</v>
      </c>
      <c r="AI128" s="21"/>
    </row>
    <row r="129" spans="2:35" x14ac:dyDescent="0.3">
      <c r="B129" s="22"/>
      <c r="C129" s="23"/>
      <c r="D129" s="42" t="s">
        <v>26</v>
      </c>
      <c r="E129" s="41">
        <v>191880</v>
      </c>
      <c r="F129" s="41">
        <v>78443</v>
      </c>
      <c r="G129" s="41">
        <v>40599</v>
      </c>
      <c r="H129" s="41">
        <v>34210</v>
      </c>
      <c r="I129" s="41">
        <v>26942</v>
      </c>
      <c r="J129" s="41">
        <v>19785</v>
      </c>
      <c r="K129" s="20"/>
      <c r="L129" s="20"/>
      <c r="M129" s="41">
        <v>1475032</v>
      </c>
      <c r="N129" s="41">
        <v>485591</v>
      </c>
      <c r="O129" s="41">
        <v>240799</v>
      </c>
      <c r="P129" s="41">
        <v>149823</v>
      </c>
      <c r="Q129" s="41">
        <v>125569</v>
      </c>
      <c r="R129" s="41">
        <v>98412</v>
      </c>
      <c r="S129" s="20"/>
      <c r="T129" s="20"/>
      <c r="U129" s="41">
        <v>10256624</v>
      </c>
      <c r="V129" s="41">
        <v>6159409</v>
      </c>
      <c r="W129" s="41">
        <v>3183005</v>
      </c>
      <c r="X129" s="41">
        <v>2193984</v>
      </c>
      <c r="Y129" s="41">
        <v>1606418</v>
      </c>
      <c r="Z129" s="41">
        <v>2980175</v>
      </c>
      <c r="AA129" s="20"/>
      <c r="AB129" s="20"/>
      <c r="AC129" s="41">
        <v>78614191</v>
      </c>
      <c r="AD129" s="41">
        <v>49809381</v>
      </c>
      <c r="AE129" s="41">
        <v>24242632</v>
      </c>
      <c r="AF129" s="41">
        <v>18600007</v>
      </c>
      <c r="AG129" s="41">
        <v>16159901</v>
      </c>
      <c r="AH129" s="43">
        <v>27637763</v>
      </c>
      <c r="AI129" s="21"/>
    </row>
    <row r="130" spans="2:35" x14ac:dyDescent="0.3">
      <c r="B130" s="22"/>
      <c r="C130" s="23"/>
      <c r="D130" s="42" t="s">
        <v>27</v>
      </c>
      <c r="E130" s="41">
        <v>156145</v>
      </c>
      <c r="F130" s="41">
        <v>82863</v>
      </c>
      <c r="G130" s="41">
        <v>40374</v>
      </c>
      <c r="H130" s="41">
        <v>41510</v>
      </c>
      <c r="I130" s="41">
        <v>25007</v>
      </c>
      <c r="J130" s="41">
        <v>37331</v>
      </c>
      <c r="K130" s="20"/>
      <c r="L130" s="20"/>
      <c r="M130" s="41">
        <v>2199102</v>
      </c>
      <c r="N130" s="41">
        <v>506462</v>
      </c>
      <c r="O130" s="41">
        <v>250329</v>
      </c>
      <c r="P130" s="41">
        <v>162853</v>
      </c>
      <c r="Q130" s="41">
        <v>131217</v>
      </c>
      <c r="R130" s="41">
        <v>93384</v>
      </c>
      <c r="S130" s="20"/>
      <c r="T130" s="20"/>
      <c r="U130" s="41">
        <v>10390776</v>
      </c>
      <c r="V130" s="41">
        <v>6740143</v>
      </c>
      <c r="W130" s="41">
        <v>3344042</v>
      </c>
      <c r="X130" s="41">
        <v>2189078</v>
      </c>
      <c r="Y130" s="41">
        <v>1615487</v>
      </c>
      <c r="Z130" s="41">
        <v>2649532</v>
      </c>
      <c r="AA130" s="20"/>
      <c r="AB130" s="20"/>
      <c r="AC130" s="41">
        <v>79048700</v>
      </c>
      <c r="AD130" s="41">
        <v>49707762</v>
      </c>
      <c r="AE130" s="41">
        <v>27121052</v>
      </c>
      <c r="AF130" s="41">
        <v>20458849</v>
      </c>
      <c r="AG130" s="41">
        <v>16579091</v>
      </c>
      <c r="AH130" s="43">
        <v>29001648</v>
      </c>
      <c r="AI130" s="21"/>
    </row>
    <row r="131" spans="2:35" x14ac:dyDescent="0.3">
      <c r="B131" s="22"/>
      <c r="C131" s="23"/>
      <c r="D131" s="42" t="s">
        <v>28</v>
      </c>
      <c r="E131" s="41">
        <v>171440</v>
      </c>
      <c r="F131" s="41">
        <v>75484</v>
      </c>
      <c r="G131" s="41">
        <v>41963</v>
      </c>
      <c r="H131" s="41">
        <v>44288</v>
      </c>
      <c r="I131" s="41">
        <v>25544</v>
      </c>
      <c r="J131" s="41">
        <v>36689</v>
      </c>
      <c r="K131" s="20"/>
      <c r="L131" s="20"/>
      <c r="M131" s="41">
        <v>1089697</v>
      </c>
      <c r="N131" s="41">
        <v>483548</v>
      </c>
      <c r="O131" s="41">
        <v>230925</v>
      </c>
      <c r="P131" s="41">
        <v>149747</v>
      </c>
      <c r="Q131" s="41">
        <v>126928</v>
      </c>
      <c r="R131" s="41">
        <v>102060</v>
      </c>
      <c r="S131" s="20"/>
      <c r="T131" s="20"/>
      <c r="U131" s="41">
        <v>10319332</v>
      </c>
      <c r="V131" s="41">
        <v>6070622</v>
      </c>
      <c r="W131" s="41">
        <v>4065031</v>
      </c>
      <c r="X131" s="41">
        <v>2651882</v>
      </c>
      <c r="Y131" s="41">
        <v>1572524</v>
      </c>
      <c r="Z131" s="41">
        <v>3668755</v>
      </c>
      <c r="AA131" s="20"/>
      <c r="AB131" s="20"/>
      <c r="AC131" s="41">
        <v>79406602</v>
      </c>
      <c r="AD131" s="41">
        <v>49301106</v>
      </c>
      <c r="AE131" s="41">
        <v>25925389</v>
      </c>
      <c r="AF131" s="41">
        <v>21043350</v>
      </c>
      <c r="AG131" s="41">
        <v>16845618</v>
      </c>
      <c r="AH131" s="43">
        <v>28257380</v>
      </c>
      <c r="AI131" s="21"/>
    </row>
    <row r="132" spans="2:35" x14ac:dyDescent="0.3">
      <c r="B132" s="22"/>
      <c r="C132" s="23"/>
      <c r="D132" s="42" t="s">
        <v>29</v>
      </c>
      <c r="E132" s="41">
        <v>176584</v>
      </c>
      <c r="F132" s="41">
        <v>75756</v>
      </c>
      <c r="G132" s="41">
        <v>40569</v>
      </c>
      <c r="H132" s="41">
        <v>34232</v>
      </c>
      <c r="I132" s="41">
        <v>26479</v>
      </c>
      <c r="J132" s="41">
        <v>21752</v>
      </c>
      <c r="K132" s="20"/>
      <c r="L132" s="20"/>
      <c r="M132" s="41">
        <v>1116961</v>
      </c>
      <c r="N132" s="41">
        <v>507266</v>
      </c>
      <c r="O132" s="41">
        <v>226027</v>
      </c>
      <c r="P132" s="41">
        <v>149832</v>
      </c>
      <c r="Q132" s="41">
        <v>136830</v>
      </c>
      <c r="R132" s="41">
        <v>91404</v>
      </c>
      <c r="S132" s="20"/>
      <c r="T132" s="20"/>
      <c r="U132" s="41">
        <v>10450784</v>
      </c>
      <c r="V132" s="41">
        <v>6202002</v>
      </c>
      <c r="W132" s="41">
        <v>3111564</v>
      </c>
      <c r="X132" s="41">
        <v>2172602</v>
      </c>
      <c r="Y132" s="41">
        <v>1604995</v>
      </c>
      <c r="Z132" s="41">
        <v>3462015</v>
      </c>
      <c r="AA132" s="20"/>
      <c r="AB132" s="20"/>
      <c r="AC132" s="41">
        <v>77436617</v>
      </c>
      <c r="AD132" s="41">
        <v>49746958</v>
      </c>
      <c r="AE132" s="41">
        <v>24151086</v>
      </c>
      <c r="AF132" s="41">
        <v>22123824</v>
      </c>
      <c r="AG132" s="41">
        <v>16759179</v>
      </c>
      <c r="AH132" s="43">
        <v>27526801</v>
      </c>
      <c r="AI132" s="21"/>
    </row>
    <row r="133" spans="2:35" x14ac:dyDescent="0.3">
      <c r="B133" s="22"/>
      <c r="C133" s="23"/>
      <c r="D133" s="42" t="s">
        <v>30</v>
      </c>
      <c r="E133" s="41">
        <v>189323</v>
      </c>
      <c r="F133" s="41">
        <v>78075</v>
      </c>
      <c r="G133" s="41">
        <v>40313</v>
      </c>
      <c r="H133" s="41">
        <v>34336</v>
      </c>
      <c r="I133" s="41">
        <v>42844</v>
      </c>
      <c r="J133" s="41">
        <v>35494</v>
      </c>
      <c r="K133" s="20"/>
      <c r="L133" s="20"/>
      <c r="M133" s="41">
        <v>931638</v>
      </c>
      <c r="N133" s="41">
        <v>469872</v>
      </c>
      <c r="O133" s="41">
        <v>230755</v>
      </c>
      <c r="P133" s="41">
        <v>167322</v>
      </c>
      <c r="Q133" s="41">
        <v>122001</v>
      </c>
      <c r="R133" s="41">
        <v>93238</v>
      </c>
      <c r="S133" s="20"/>
      <c r="T133" s="20"/>
      <c r="U133" s="41">
        <v>11241011</v>
      </c>
      <c r="V133" s="41">
        <v>6110252</v>
      </c>
      <c r="W133" s="41">
        <v>3268956</v>
      </c>
      <c r="X133" s="41">
        <v>2154422</v>
      </c>
      <c r="Y133" s="41">
        <v>1532740</v>
      </c>
      <c r="Z133" s="41">
        <v>3460602</v>
      </c>
      <c r="AA133" s="20"/>
      <c r="AB133" s="20"/>
      <c r="AC133" s="41">
        <v>145423950</v>
      </c>
      <c r="AD133" s="41">
        <v>51913106</v>
      </c>
      <c r="AE133" s="41">
        <v>25995349</v>
      </c>
      <c r="AF133" s="41">
        <v>18962434</v>
      </c>
      <c r="AG133" s="41">
        <v>16092840</v>
      </c>
      <c r="AH133" s="43">
        <v>28736770</v>
      </c>
      <c r="AI133" s="21"/>
    </row>
    <row r="134" spans="2:35" x14ac:dyDescent="0.3">
      <c r="B134" s="22"/>
      <c r="C134" s="23"/>
      <c r="D134" s="42" t="s">
        <v>31</v>
      </c>
      <c r="E134" s="41">
        <v>172044</v>
      </c>
      <c r="F134" s="41">
        <v>76619</v>
      </c>
      <c r="G134" s="41">
        <v>42482</v>
      </c>
      <c r="H134" s="41">
        <v>49421</v>
      </c>
      <c r="I134" s="41">
        <v>37068</v>
      </c>
      <c r="J134" s="41">
        <v>34063</v>
      </c>
      <c r="K134" s="20"/>
      <c r="L134" s="20"/>
      <c r="M134" s="41">
        <v>1053560</v>
      </c>
      <c r="N134" s="41">
        <v>527346</v>
      </c>
      <c r="O134" s="41">
        <v>224492</v>
      </c>
      <c r="P134" s="41">
        <v>151075</v>
      </c>
      <c r="Q134" s="41">
        <v>135309</v>
      </c>
      <c r="R134" s="41">
        <v>95904</v>
      </c>
      <c r="S134" s="20"/>
      <c r="T134" s="20"/>
      <c r="U134" s="41">
        <v>10402601</v>
      </c>
      <c r="V134" s="41">
        <v>6273898</v>
      </c>
      <c r="W134" s="41">
        <v>3133082</v>
      </c>
      <c r="X134" s="41">
        <v>2108465</v>
      </c>
      <c r="Y134" s="41">
        <v>2360733</v>
      </c>
      <c r="Z134" s="41">
        <v>3618945</v>
      </c>
      <c r="AA134" s="20"/>
      <c r="AB134" s="20"/>
      <c r="AC134" s="41">
        <v>80864156</v>
      </c>
      <c r="AD134" s="41">
        <v>49506031</v>
      </c>
      <c r="AE134" s="41">
        <v>26903917</v>
      </c>
      <c r="AF134" s="41">
        <v>19120113</v>
      </c>
      <c r="AG134" s="41">
        <v>16531282</v>
      </c>
      <c r="AH134" s="43">
        <v>29028841</v>
      </c>
      <c r="AI134" s="21"/>
    </row>
    <row r="135" spans="2:35" x14ac:dyDescent="0.3">
      <c r="B135" s="22"/>
      <c r="C135" s="23"/>
      <c r="D135" s="42" t="s">
        <v>32</v>
      </c>
      <c r="E135" s="41">
        <v>160456</v>
      </c>
      <c r="F135" s="41">
        <v>80803</v>
      </c>
      <c r="G135" s="41">
        <v>40460</v>
      </c>
      <c r="H135" s="41">
        <v>63846</v>
      </c>
      <c r="I135" s="41">
        <v>27895</v>
      </c>
      <c r="J135" s="41">
        <v>34675</v>
      </c>
      <c r="K135" s="20"/>
      <c r="L135" s="20"/>
      <c r="M135" s="41">
        <v>924111</v>
      </c>
      <c r="N135" s="41">
        <v>495128</v>
      </c>
      <c r="O135" s="41">
        <v>231679</v>
      </c>
      <c r="P135" s="41">
        <v>154273</v>
      </c>
      <c r="Q135" s="41">
        <v>138174</v>
      </c>
      <c r="R135" s="41">
        <v>96616</v>
      </c>
      <c r="S135" s="20"/>
      <c r="T135" s="20"/>
      <c r="U135" s="41">
        <v>11078084</v>
      </c>
      <c r="V135" s="41">
        <v>6067791</v>
      </c>
      <c r="W135" s="41">
        <v>3115573</v>
      </c>
      <c r="X135" s="41">
        <v>2726177</v>
      </c>
      <c r="Y135" s="41">
        <v>1632559</v>
      </c>
      <c r="Z135" s="41">
        <v>3450081</v>
      </c>
      <c r="AA135" s="20"/>
      <c r="AB135" s="20"/>
      <c r="AC135" s="41">
        <v>81634390</v>
      </c>
      <c r="AD135" s="41">
        <v>51046492</v>
      </c>
      <c r="AE135" s="41">
        <v>23843868</v>
      </c>
      <c r="AF135" s="41">
        <v>21766817</v>
      </c>
      <c r="AG135" s="41">
        <v>16516638</v>
      </c>
      <c r="AH135" s="43">
        <v>27297594</v>
      </c>
      <c r="AI135" s="21"/>
    </row>
    <row r="136" spans="2:35" x14ac:dyDescent="0.3">
      <c r="B136" s="22"/>
      <c r="C136" s="23"/>
      <c r="D136" s="42" t="s">
        <v>33</v>
      </c>
      <c r="E136" s="41">
        <v>175160</v>
      </c>
      <c r="F136" s="41">
        <v>78935</v>
      </c>
      <c r="G136" s="41">
        <v>41770</v>
      </c>
      <c r="H136" s="41">
        <v>41310</v>
      </c>
      <c r="I136" s="41">
        <v>29119</v>
      </c>
      <c r="J136" s="41">
        <v>31211</v>
      </c>
      <c r="K136" s="20"/>
      <c r="L136" s="20"/>
      <c r="M136" s="41">
        <v>919069</v>
      </c>
      <c r="N136" s="41">
        <v>493312</v>
      </c>
      <c r="O136" s="41">
        <v>237541</v>
      </c>
      <c r="P136" s="41">
        <v>146728</v>
      </c>
      <c r="Q136" s="41">
        <v>130264</v>
      </c>
      <c r="R136" s="41">
        <v>96178</v>
      </c>
      <c r="S136" s="20"/>
      <c r="T136" s="20"/>
      <c r="U136" s="41">
        <v>10433246</v>
      </c>
      <c r="V136" s="41">
        <v>6087837</v>
      </c>
      <c r="W136" s="41">
        <v>3276900</v>
      </c>
      <c r="X136" s="41">
        <v>2178494</v>
      </c>
      <c r="Y136" s="41">
        <v>1613968</v>
      </c>
      <c r="Z136" s="41">
        <v>3431446</v>
      </c>
      <c r="AA136" s="20"/>
      <c r="AB136" s="20"/>
      <c r="AC136" s="41">
        <v>78686845</v>
      </c>
      <c r="AD136" s="41">
        <v>49431693</v>
      </c>
      <c r="AE136" s="41">
        <v>27131102</v>
      </c>
      <c r="AF136" s="41">
        <v>19338999</v>
      </c>
      <c r="AG136" s="41">
        <v>16444905</v>
      </c>
      <c r="AH136" s="43">
        <v>28735684</v>
      </c>
      <c r="AI136" s="21"/>
    </row>
    <row r="137" spans="2:35" x14ac:dyDescent="0.3">
      <c r="B137" s="22"/>
      <c r="C137" s="23"/>
      <c r="D137" s="42" t="s">
        <v>34</v>
      </c>
      <c r="E137" s="41">
        <v>162323</v>
      </c>
      <c r="F137" s="41">
        <v>79880</v>
      </c>
      <c r="G137" s="41">
        <v>39778</v>
      </c>
      <c r="H137" s="41">
        <v>55614</v>
      </c>
      <c r="I137" s="41">
        <v>31374</v>
      </c>
      <c r="J137" s="41">
        <v>31608</v>
      </c>
      <c r="K137" s="20"/>
      <c r="L137" s="20"/>
      <c r="M137" s="41">
        <v>970501</v>
      </c>
      <c r="N137" s="41">
        <v>460180</v>
      </c>
      <c r="O137" s="41">
        <v>238653</v>
      </c>
      <c r="P137" s="41">
        <v>161209</v>
      </c>
      <c r="Q137" s="41">
        <v>132135</v>
      </c>
      <c r="R137" s="41">
        <v>89552</v>
      </c>
      <c r="S137" s="20"/>
      <c r="T137" s="20"/>
      <c r="U137" s="41">
        <v>10417512</v>
      </c>
      <c r="V137" s="41">
        <v>6947928</v>
      </c>
      <c r="W137" s="41">
        <v>3165071</v>
      </c>
      <c r="X137" s="41">
        <v>2068649</v>
      </c>
      <c r="Y137" s="41">
        <v>1652228</v>
      </c>
      <c r="Z137" s="41">
        <v>2953591</v>
      </c>
      <c r="AA137" s="20"/>
      <c r="AB137" s="20"/>
      <c r="AC137" s="41">
        <v>81829786</v>
      </c>
      <c r="AD137" s="41">
        <v>51266102</v>
      </c>
      <c r="AE137" s="41">
        <v>27968031</v>
      </c>
      <c r="AF137" s="41">
        <v>20427325</v>
      </c>
      <c r="AG137" s="41">
        <v>16175596</v>
      </c>
      <c r="AH137" s="43">
        <v>27576353</v>
      </c>
      <c r="AI137" s="21"/>
    </row>
    <row r="138" spans="2:35" x14ac:dyDescent="0.3">
      <c r="B138" s="22"/>
      <c r="C138" s="23"/>
      <c r="D138" s="42" t="s">
        <v>35</v>
      </c>
      <c r="E138" s="41">
        <v>167736</v>
      </c>
      <c r="F138" s="41">
        <v>79831</v>
      </c>
      <c r="G138" s="41">
        <v>39806</v>
      </c>
      <c r="H138" s="41">
        <v>51520</v>
      </c>
      <c r="I138" s="41">
        <v>28177</v>
      </c>
      <c r="J138" s="41">
        <v>20075</v>
      </c>
      <c r="K138" s="20"/>
      <c r="L138" s="20"/>
      <c r="M138" s="41">
        <v>956242</v>
      </c>
      <c r="N138" s="41">
        <v>483561</v>
      </c>
      <c r="O138" s="41">
        <v>226001</v>
      </c>
      <c r="P138" s="41">
        <v>169377</v>
      </c>
      <c r="Q138" s="41">
        <v>137547</v>
      </c>
      <c r="R138" s="41">
        <v>92576</v>
      </c>
      <c r="S138" s="20"/>
      <c r="T138" s="20"/>
      <c r="U138" s="41">
        <v>10484943</v>
      </c>
      <c r="V138" s="41">
        <v>6111268</v>
      </c>
      <c r="W138" s="41">
        <v>3061806</v>
      </c>
      <c r="X138" s="41">
        <v>2143692</v>
      </c>
      <c r="Y138" s="41">
        <v>1666634</v>
      </c>
      <c r="Z138" s="41">
        <v>2982828</v>
      </c>
      <c r="AA138" s="20"/>
      <c r="AB138" s="20"/>
      <c r="AC138" s="41">
        <v>81597926</v>
      </c>
      <c r="AD138" s="41">
        <v>49858947</v>
      </c>
      <c r="AE138" s="41">
        <v>25911128</v>
      </c>
      <c r="AF138" s="41">
        <v>21668454</v>
      </c>
      <c r="AG138" s="41">
        <v>16239363</v>
      </c>
      <c r="AH138" s="43">
        <v>27646730</v>
      </c>
      <c r="AI138" s="21"/>
    </row>
    <row r="139" spans="2:35" x14ac:dyDescent="0.3">
      <c r="B139" s="22"/>
      <c r="C139" s="23"/>
      <c r="D139" s="42" t="s">
        <v>36</v>
      </c>
      <c r="E139" s="41">
        <v>171568</v>
      </c>
      <c r="F139" s="41">
        <v>79156</v>
      </c>
      <c r="G139" s="41">
        <v>42326</v>
      </c>
      <c r="H139" s="41">
        <v>33961</v>
      </c>
      <c r="I139" s="41">
        <v>27787</v>
      </c>
      <c r="J139" s="41">
        <v>20703</v>
      </c>
      <c r="K139" s="20"/>
      <c r="L139" s="20"/>
      <c r="M139" s="41">
        <v>1024277</v>
      </c>
      <c r="N139" s="41">
        <v>490029</v>
      </c>
      <c r="O139" s="41">
        <v>224323</v>
      </c>
      <c r="P139" s="41">
        <v>157417</v>
      </c>
      <c r="Q139" s="41">
        <v>226476</v>
      </c>
      <c r="R139" s="41">
        <v>92286</v>
      </c>
      <c r="S139" s="20"/>
      <c r="T139" s="20"/>
      <c r="U139" s="41">
        <v>10373298</v>
      </c>
      <c r="V139" s="41">
        <v>6054977</v>
      </c>
      <c r="W139" s="41">
        <v>3288260</v>
      </c>
      <c r="X139" s="41">
        <v>2122468</v>
      </c>
      <c r="Y139" s="41">
        <v>1635138</v>
      </c>
      <c r="Z139" s="41">
        <v>3019915</v>
      </c>
      <c r="AA139" s="20"/>
      <c r="AB139" s="20"/>
      <c r="AC139" s="41">
        <v>80834792</v>
      </c>
      <c r="AD139" s="41">
        <v>51466364</v>
      </c>
      <c r="AE139" s="41">
        <v>23179839</v>
      </c>
      <c r="AF139" s="41">
        <v>19902274</v>
      </c>
      <c r="AG139" s="41">
        <v>16401520</v>
      </c>
      <c r="AH139" s="43">
        <v>27458154</v>
      </c>
      <c r="AI139" s="21"/>
    </row>
    <row r="140" spans="2:35" x14ac:dyDescent="0.3">
      <c r="B140" s="22"/>
      <c r="C140" s="23"/>
      <c r="D140" s="42" t="s">
        <v>37</v>
      </c>
      <c r="E140" s="41">
        <v>166450</v>
      </c>
      <c r="F140" s="41">
        <v>79405</v>
      </c>
      <c r="G140" s="41">
        <v>40395</v>
      </c>
      <c r="H140" s="41">
        <v>37746</v>
      </c>
      <c r="I140" s="41">
        <v>42033</v>
      </c>
      <c r="J140" s="41">
        <v>23878</v>
      </c>
      <c r="K140" s="20"/>
      <c r="L140" s="20"/>
      <c r="M140" s="41">
        <v>1740952</v>
      </c>
      <c r="N140" s="41">
        <v>506277</v>
      </c>
      <c r="O140" s="41">
        <v>228249</v>
      </c>
      <c r="P140" s="41">
        <v>159941</v>
      </c>
      <c r="Q140" s="41">
        <v>217006</v>
      </c>
      <c r="R140" s="41">
        <v>96743</v>
      </c>
      <c r="S140" s="20"/>
      <c r="T140" s="20"/>
      <c r="U140" s="41">
        <v>10314074</v>
      </c>
      <c r="V140" s="41">
        <v>6042561</v>
      </c>
      <c r="W140" s="41">
        <v>3069138</v>
      </c>
      <c r="X140" s="41">
        <v>2711374</v>
      </c>
      <c r="Y140" s="41">
        <v>1615512</v>
      </c>
      <c r="Z140" s="41">
        <v>3031940</v>
      </c>
      <c r="AA140" s="20"/>
      <c r="AB140" s="20"/>
      <c r="AC140" s="41">
        <v>80115970</v>
      </c>
      <c r="AD140" s="41">
        <v>51900611</v>
      </c>
      <c r="AE140" s="41">
        <v>25304947</v>
      </c>
      <c r="AF140" s="41">
        <v>22103783</v>
      </c>
      <c r="AG140" s="41">
        <v>16665568</v>
      </c>
      <c r="AH140" s="43">
        <v>28879135</v>
      </c>
      <c r="AI140" s="21"/>
    </row>
    <row r="141" spans="2:35" x14ac:dyDescent="0.3">
      <c r="B141" s="22"/>
      <c r="C141" s="23"/>
      <c r="D141" s="42" t="s">
        <v>38</v>
      </c>
      <c r="E141" s="41">
        <v>187450</v>
      </c>
      <c r="F141" s="41">
        <v>82299</v>
      </c>
      <c r="G141" s="41">
        <v>43206</v>
      </c>
      <c r="H141" s="41">
        <v>54986</v>
      </c>
      <c r="I141" s="41">
        <v>25033</v>
      </c>
      <c r="J141" s="41">
        <v>59813</v>
      </c>
      <c r="K141" s="20"/>
      <c r="L141" s="20"/>
      <c r="M141" s="41">
        <v>886996</v>
      </c>
      <c r="N141" s="41">
        <v>476172</v>
      </c>
      <c r="O141" s="41">
        <v>232598</v>
      </c>
      <c r="P141" s="41">
        <v>159735</v>
      </c>
      <c r="Q141" s="41">
        <v>164020</v>
      </c>
      <c r="R141" s="41">
        <v>94990</v>
      </c>
      <c r="S141" s="20"/>
      <c r="T141" s="20"/>
      <c r="U141" s="41">
        <v>10469817</v>
      </c>
      <c r="V141" s="41">
        <v>6373523</v>
      </c>
      <c r="W141" s="41">
        <v>3192406</v>
      </c>
      <c r="X141" s="41">
        <v>2092127</v>
      </c>
      <c r="Y141" s="41">
        <v>1606509</v>
      </c>
      <c r="Z141" s="41">
        <v>2973310</v>
      </c>
      <c r="AA141" s="20"/>
      <c r="AB141" s="20"/>
      <c r="AC141" s="41">
        <v>80187387</v>
      </c>
      <c r="AD141" s="41">
        <v>51502609</v>
      </c>
      <c r="AE141" s="41">
        <v>25769621</v>
      </c>
      <c r="AF141" s="41">
        <v>22219014</v>
      </c>
      <c r="AG141" s="41">
        <v>16704332</v>
      </c>
      <c r="AH141" s="43">
        <v>29795961</v>
      </c>
      <c r="AI141" s="21"/>
    </row>
    <row r="142" spans="2:35" x14ac:dyDescent="0.3">
      <c r="B142" s="22"/>
      <c r="C142" s="23"/>
      <c r="D142" s="42" t="s">
        <v>39</v>
      </c>
      <c r="E142" s="41">
        <v>174461</v>
      </c>
      <c r="F142" s="41">
        <v>80525</v>
      </c>
      <c r="G142" s="41">
        <v>43530</v>
      </c>
      <c r="H142" s="41">
        <v>36776</v>
      </c>
      <c r="I142" s="41">
        <v>46524</v>
      </c>
      <c r="J142" s="41">
        <v>39675</v>
      </c>
      <c r="K142" s="20"/>
      <c r="L142" s="20"/>
      <c r="M142" s="41">
        <v>920360</v>
      </c>
      <c r="N142" s="41">
        <v>462360</v>
      </c>
      <c r="O142" s="41">
        <v>222807</v>
      </c>
      <c r="P142" s="41">
        <v>151960</v>
      </c>
      <c r="Q142" s="41">
        <v>149100</v>
      </c>
      <c r="R142" s="41">
        <v>87902</v>
      </c>
      <c r="S142" s="20"/>
      <c r="T142" s="20"/>
      <c r="U142" s="41">
        <v>10352231</v>
      </c>
      <c r="V142" s="41">
        <v>6048729</v>
      </c>
      <c r="W142" s="41">
        <v>3320481</v>
      </c>
      <c r="X142" s="41">
        <v>2273555</v>
      </c>
      <c r="Y142" s="41">
        <v>1627202</v>
      </c>
      <c r="Z142" s="41">
        <v>2944580</v>
      </c>
      <c r="AA142" s="20"/>
      <c r="AB142" s="20"/>
      <c r="AC142" s="41">
        <v>82525944</v>
      </c>
      <c r="AD142" s="41">
        <v>51798140</v>
      </c>
      <c r="AE142" s="41">
        <v>25938822</v>
      </c>
      <c r="AF142" s="41">
        <v>21494636</v>
      </c>
      <c r="AG142" s="41">
        <v>16697518</v>
      </c>
      <c r="AH142" s="43">
        <v>29657173</v>
      </c>
      <c r="AI142" s="21"/>
    </row>
    <row r="143" spans="2:35" ht="16.5" customHeight="1" thickBot="1" x14ac:dyDescent="0.35">
      <c r="B143" s="22"/>
      <c r="C143" s="24"/>
      <c r="D143" s="37" t="s">
        <v>44</v>
      </c>
      <c r="E143" s="25" cm="1">
        <f t="array" ref="E143">ROUND(AVERAGE(IF((ISNUMBER(E113:E142))*(E113:E142&lt;LARGE(E113:E142,2))*(E113:E142&gt;SMALL(E113:E142,2)),E113:E142)),0)</f>
        <v>172153</v>
      </c>
      <c r="F143" s="25" cm="1">
        <f t="array" ref="F143">ROUND(AVERAGE(IF((ISNUMBER(F113:F142))*(F113:F142&lt;LARGE(F113:F142,2))*(F113:F142&gt;SMALL(F113:F142,2)),F113:F142)),0)</f>
        <v>79444</v>
      </c>
      <c r="G143" s="25" cm="1">
        <f t="array" ref="G143">ROUND(AVERAGE(IF((ISNUMBER(G113:G142))*(G113:G142&lt;LARGE(G113:G142,2))*(G113:G142&gt;SMALL(G113:G142,2)),G113:G142)),0)</f>
        <v>40575</v>
      </c>
      <c r="H143" s="25" cm="1">
        <f t="array" ref="H143">ROUND(AVERAGE(IF((ISNUMBER(H113:H142))*(H113:H142&lt;LARGE(H113:H142,2))*(H113:H142&gt;SMALL(H113:H142,2)),H113:H142)),0)</f>
        <v>40681</v>
      </c>
      <c r="I143" s="25" cm="1">
        <f t="array" ref="I143">ROUND(AVERAGE(IF((ISNUMBER(I113:I142))*(I113:I142&lt;LARGE(I113:I142,2))*(I113:I142&gt;SMALL(I113:I142,2)),I113:I142)),0)</f>
        <v>31385</v>
      </c>
      <c r="J143" s="25" cm="1">
        <f t="array" ref="J143">ROUND(AVERAGE(IF((ISNUMBER(J113:J142))*(J113:J142&lt;LARGE(J113:J142,2))*(J113:J142&gt;SMALL(J113:J142,2)),J113:J142)),0)</f>
        <v>30436</v>
      </c>
      <c r="K143" s="25"/>
      <c r="L143" s="25"/>
      <c r="M143" s="25" cm="1">
        <f t="array" ref="M143">ROUND(AVERAGE(IF((ISNUMBER(M113:M142))*(M113:M142&lt;LARGE(M113:M142,2))*(M113:M142&gt;SMALL(M113:M142,2)),M113:M142)),0)</f>
        <v>1457223</v>
      </c>
      <c r="N143" s="25" cm="1">
        <f t="array" ref="N143">ROUND(AVERAGE(IF((ISNUMBER(N113:N142))*(N113:N142&lt;LARGE(N113:N142,2))*(N113:N142&gt;SMALL(N113:N142,2)),N113:N142)),0)</f>
        <v>493205</v>
      </c>
      <c r="O143" s="25" cm="1">
        <f t="array" ref="O143">ROUND(AVERAGE(IF((ISNUMBER(O113:O142))*(O113:O142&lt;LARGE(O113:O142,2))*(O113:O142&gt;SMALL(O113:O142,2)),O113:O142)),0)</f>
        <v>273684</v>
      </c>
      <c r="P143" s="25" cm="1">
        <f t="array" ref="P143">ROUND(AVERAGE(IF((ISNUMBER(P113:P142))*(P113:P142&lt;LARGE(P113:P142,2))*(P113:P142&gt;SMALL(P113:P142,2)),P113:P142)),0)</f>
        <v>156497</v>
      </c>
      <c r="Q143" s="25" cm="1">
        <f t="array" ref="Q143">ROUND(AVERAGE(IF((ISNUMBER(Q113:Q142))*(Q113:Q142&lt;LARGE(Q113:Q142,2))*(Q113:Q142&gt;SMALL(Q113:Q142,2)),Q113:Q142)),0)</f>
        <v>136210</v>
      </c>
      <c r="R143" s="25" cm="1">
        <f t="array" ref="R143">ROUND(AVERAGE(IF((ISNUMBER(R113:R142))*(R113:R142&lt;LARGE(R113:R142,2))*(R113:R142&gt;SMALL(R113:R142,2)),R113:R142)),0)</f>
        <v>94831</v>
      </c>
      <c r="S143" s="25"/>
      <c r="T143" s="25"/>
      <c r="U143" s="25" cm="1">
        <f t="array" ref="U143">ROUND(AVERAGE(IF((ISNUMBER(U113:U142))*(U113:U142&lt;LARGE(U113:U142,2))*(U113:U142&gt;SMALL(U113:U142,2)),U113:U142)),0)</f>
        <v>10538739</v>
      </c>
      <c r="V143" s="25" cm="1">
        <f t="array" ref="V143">ROUND(AVERAGE(IF((ISNUMBER(V113:V142))*(V113:V142&lt;LARGE(V113:V142,2))*(V113:V142&gt;SMALL(V113:V142,2)),V113:V142)),0)</f>
        <v>6226970</v>
      </c>
      <c r="W143" s="25" cm="1">
        <f t="array" ref="W143">ROUND(AVERAGE(IF((ISNUMBER(W113:W142))*(W113:W142&lt;LARGE(W113:W142,2))*(W113:W142&gt;SMALL(W113:W142,2)),W113:W142)),0)</f>
        <v>3171572</v>
      </c>
      <c r="X143" s="25" cm="1">
        <f t="array" ref="X143">ROUND(AVERAGE(IF((ISNUMBER(X113:X142))*(X113:X142&lt;LARGE(X113:X142,2))*(X113:X142&gt;SMALL(X113:X142,2)),X113:X142)),0)</f>
        <v>2174634</v>
      </c>
      <c r="Y143" s="25" cm="1">
        <f t="array" ref="Y143">ROUND(AVERAGE(IF((ISNUMBER(Y113:Y142))*(Y113:Y142&lt;LARGE(Y113:Y142,2))*(Y113:Y142&gt;SMALL(Y113:Y142,2)),Y113:Y142)),0)</f>
        <v>1646924</v>
      </c>
      <c r="Z143" s="25" cm="1">
        <f t="array" ref="Z143">ROUND(AVERAGE(IF((ISNUMBER(Z113:Z142))*(Z113:Z142&lt;LARGE(Z113:Z142,2))*(Z113:Z142&gt;SMALL(Z113:Z142,2)),Z113:Z142)),0)</f>
        <v>3152347</v>
      </c>
      <c r="AA143" s="25"/>
      <c r="AB143" s="25"/>
      <c r="AC143" s="25" cm="1">
        <f t="array" ref="AC143">ROUND(AVERAGE(IF((ISNUMBER(AC113:AC142))*(AC113:AC142&lt;LARGE(AC113:AC142,2))*(AC113:AC142&gt;SMALL(AC113:AC142,2)),AC113:AC142)),0)</f>
        <v>84022972</v>
      </c>
      <c r="AD143" s="25" cm="1">
        <f t="array" ref="AD143">ROUND(AVERAGE(IF((ISNUMBER(AD113:AD142))*(AD113:AD142&lt;LARGE(AD113:AD142,2))*(AD113:AD142&gt;SMALL(AD113:AD142,2)),AD113:AD142)),0)</f>
        <v>50850877</v>
      </c>
      <c r="AE143" s="25" cm="1">
        <f t="array" ref="AE143">ROUND(AVERAGE(IF((ISNUMBER(AE113:AE142))*(AE113:AE142&lt;LARGE(AE113:AE142,2))*(AE113:AE142&gt;SMALL(AE113:AE142,2)),AE113:AE142)),0)</f>
        <v>26196831</v>
      </c>
      <c r="AF143" s="25" cm="1">
        <f t="array" ref="AF143">ROUND(AVERAGE(IF((ISNUMBER(AF113:AF142))*(AF113:AF142&lt;LARGE(AF113:AF142,2))*(AF113:AF142&gt;SMALL(AF113:AF142,2)),AF113:AF142)),0)</f>
        <v>20731372</v>
      </c>
      <c r="AG143" s="25" cm="1">
        <f t="array" ref="AG143">ROUND(AVERAGE(IF((ISNUMBER(AG113:AG142))*(AG113:AG142&lt;LARGE(AG113:AG142,2))*(AG113:AG142&gt;SMALL(AG113:AG142,2)),AG113:AG142)),0)</f>
        <v>16542886</v>
      </c>
      <c r="AH143" s="26" cm="1">
        <f t="array" ref="AH143">ROUND(AVERAGE(IF((ISNUMBER(AH113:AH142))*(AH113:AH142&lt;LARGE(AH113:AH142,2))*(AH113:AH142&gt;SMALL(AH113:AH142,2)),AH113:AH142)),0)</f>
        <v>29146334</v>
      </c>
      <c r="AI143" s="21"/>
    </row>
    <row r="144" spans="2:35" ht="16.5" customHeight="1" thickBot="1" x14ac:dyDescent="0.35">
      <c r="B144" s="27"/>
      <c r="C144" s="28"/>
      <c r="D144" s="3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9"/>
    </row>
    <row r="145" spans="4:4" x14ac:dyDescent="0.3">
      <c r="D145" s="1"/>
    </row>
    <row r="146" spans="4:4" x14ac:dyDescent="0.3">
      <c r="D146" s="1"/>
    </row>
  </sheetData>
  <mergeCells count="12">
    <mergeCell ref="K4:L4"/>
    <mergeCell ref="S4:T4"/>
    <mergeCell ref="AA4:AB4"/>
    <mergeCell ref="K40:L40"/>
    <mergeCell ref="S40:T40"/>
    <mergeCell ref="AA40:AB40"/>
    <mergeCell ref="AA76:AB76"/>
    <mergeCell ref="S76:T76"/>
    <mergeCell ref="K76:L76"/>
    <mergeCell ref="K112:L112"/>
    <mergeCell ref="S112:T112"/>
    <mergeCell ref="AA112:AB11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94C3-8059-4775-A519-544C60E17FF9}">
  <dimension ref="B5:AK274"/>
  <sheetViews>
    <sheetView zoomScale="55" zoomScaleNormal="55" workbookViewId="0">
      <selection activeCell="O12" sqref="O12"/>
    </sheetView>
  </sheetViews>
  <sheetFormatPr baseColWidth="10" defaultRowHeight="14.4" x14ac:dyDescent="0.3"/>
  <cols>
    <col min="3" max="3" width="27.21875" customWidth="1"/>
    <col min="4" max="4" width="10.88671875" customWidth="1"/>
    <col min="11" max="11" width="10.88671875" customWidth="1"/>
  </cols>
  <sheetData>
    <row r="5" spans="2:37" ht="15" thickBot="1" x14ac:dyDescent="0.35"/>
    <row r="6" spans="2:37" x14ac:dyDescent="0.3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4"/>
    </row>
    <row r="7" spans="2:37" ht="36.6" x14ac:dyDescent="0.7">
      <c r="B7" s="5"/>
      <c r="C7" s="6" t="s">
        <v>40</v>
      </c>
      <c r="D7" s="6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8"/>
    </row>
    <row r="8" spans="2:37" x14ac:dyDescent="0.3">
      <c r="B8" s="5"/>
      <c r="C8" s="9" t="s">
        <v>45</v>
      </c>
      <c r="D8" s="9" t="s">
        <v>1</v>
      </c>
      <c r="E8" s="9" t="s">
        <v>2</v>
      </c>
      <c r="F8" s="9" t="s">
        <v>3</v>
      </c>
      <c r="G8" s="9" t="s">
        <v>4</v>
      </c>
      <c r="H8" s="9" t="s">
        <v>5</v>
      </c>
      <c r="I8" s="9" t="s">
        <v>6</v>
      </c>
      <c r="J8" s="7"/>
      <c r="K8" s="47" t="s">
        <v>45</v>
      </c>
      <c r="L8" s="47"/>
      <c r="M8" s="9" t="s">
        <v>1</v>
      </c>
      <c r="N8" s="9" t="s">
        <v>2</v>
      </c>
      <c r="O8" s="9" t="s">
        <v>3</v>
      </c>
      <c r="P8" s="9" t="s">
        <v>4</v>
      </c>
      <c r="Q8" s="9" t="s">
        <v>5</v>
      </c>
      <c r="R8" s="9" t="s">
        <v>6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8"/>
    </row>
    <row r="9" spans="2:37" x14ac:dyDescent="0.3">
      <c r="B9" s="5"/>
      <c r="C9" s="7" t="s">
        <v>50</v>
      </c>
      <c r="D9" s="7">
        <v>1</v>
      </c>
      <c r="E9" s="7">
        <f>$D10/E10</f>
        <v>2.1605535012283266</v>
      </c>
      <c r="F9" s="7">
        <f t="shared" ref="F9:I9" si="0">$D10/F10</f>
        <v>4.290778858819472</v>
      </c>
      <c r="G9" s="7">
        <f t="shared" si="0"/>
        <v>5.3598223239128284</v>
      </c>
      <c r="H9" s="7">
        <f t="shared" si="0"/>
        <v>7.1250621931413871</v>
      </c>
      <c r="I9" s="7">
        <f t="shared" si="0"/>
        <v>6.6326115072706937</v>
      </c>
      <c r="J9" s="7"/>
      <c r="K9" s="48" t="s">
        <v>54</v>
      </c>
      <c r="L9" s="48"/>
      <c r="M9" s="7">
        <f t="shared" ref="M9:R9" si="1">(D9+D12+D15+D18)/4</f>
        <v>1</v>
      </c>
      <c r="N9" s="7">
        <f t="shared" si="1"/>
        <v>2.5400114810603949</v>
      </c>
      <c r="O9" s="7">
        <f t="shared" si="1"/>
        <v>4.4944008215613938</v>
      </c>
      <c r="P9" s="7">
        <f t="shared" si="1"/>
        <v>5.2342558381387025</v>
      </c>
      <c r="Q9" s="7">
        <f t="shared" si="1"/>
        <v>6.066895775143097</v>
      </c>
      <c r="R9" s="7">
        <f t="shared" si="1"/>
        <v>6.028240121222197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8"/>
    </row>
    <row r="10" spans="2:37" x14ac:dyDescent="0.3">
      <c r="B10" s="5"/>
      <c r="C10" s="7" t="s">
        <v>46</v>
      </c>
      <c r="D10" s="7">
        <f>'Información completa'!E35</f>
        <v>758983</v>
      </c>
      <c r="E10" s="7">
        <f>'Información completa'!F35</f>
        <v>351291</v>
      </c>
      <c r="F10" s="7">
        <f>'Información completa'!G35</f>
        <v>176887</v>
      </c>
      <c r="G10" s="7">
        <f>'Información completa'!H35</f>
        <v>141606</v>
      </c>
      <c r="H10" s="7">
        <f>'Información completa'!I35</f>
        <v>106523</v>
      </c>
      <c r="I10" s="7">
        <f>'Información completa'!J35</f>
        <v>114432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8"/>
    </row>
    <row r="11" spans="2:37" x14ac:dyDescent="0.3">
      <c r="B11" s="5"/>
      <c r="C11" s="9" t="s">
        <v>45</v>
      </c>
      <c r="D11" s="9" t="s">
        <v>1</v>
      </c>
      <c r="E11" s="9" t="s">
        <v>2</v>
      </c>
      <c r="F11" s="9" t="s">
        <v>3</v>
      </c>
      <c r="G11" s="9" t="s">
        <v>4</v>
      </c>
      <c r="H11" s="9" t="s">
        <v>5</v>
      </c>
      <c r="I11" s="9" t="s">
        <v>6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8"/>
    </row>
    <row r="12" spans="2:37" x14ac:dyDescent="0.3">
      <c r="B12" s="5"/>
      <c r="C12" s="7" t="s">
        <v>51</v>
      </c>
      <c r="D12" s="7">
        <v>1</v>
      </c>
      <c r="E12" s="7">
        <f>$D13/E13</f>
        <v>3.0258266851348017</v>
      </c>
      <c r="F12" s="7">
        <f t="shared" ref="F12:I12" si="2">$D13/F13</f>
        <v>4.9240587748535782</v>
      </c>
      <c r="G12" s="7">
        <f t="shared" si="2"/>
        <v>8.7419483244827418</v>
      </c>
      <c r="H12" s="7">
        <f t="shared" si="2"/>
        <v>10.898234301629541</v>
      </c>
      <c r="I12" s="7">
        <f t="shared" si="2"/>
        <v>12.188590595878781</v>
      </c>
      <c r="J12" s="7"/>
      <c r="K12" s="7"/>
      <c r="L12" s="7"/>
      <c r="M12" s="7"/>
      <c r="N12" s="7"/>
      <c r="O12" s="45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8"/>
    </row>
    <row r="13" spans="2:37" x14ac:dyDescent="0.3">
      <c r="B13" s="5"/>
      <c r="C13" s="7" t="s">
        <v>47</v>
      </c>
      <c r="D13" s="7">
        <f>'Información completa'!M35</f>
        <v>7027661</v>
      </c>
      <c r="E13" s="7">
        <f>'Información completa'!N35</f>
        <v>2322559</v>
      </c>
      <c r="F13" s="7">
        <f>'Información completa'!O35</f>
        <v>1427209</v>
      </c>
      <c r="G13" s="7">
        <f>'Información completa'!P35</f>
        <v>803901</v>
      </c>
      <c r="H13" s="7">
        <f>'Información completa'!Q35</f>
        <v>644844</v>
      </c>
      <c r="I13" s="7">
        <f>'Información completa'!R35</f>
        <v>576577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8"/>
    </row>
    <row r="14" spans="2:37" x14ac:dyDescent="0.3">
      <c r="B14" s="5"/>
      <c r="C14" s="9" t="s">
        <v>45</v>
      </c>
      <c r="D14" s="9" t="s">
        <v>1</v>
      </c>
      <c r="E14" s="9" t="s">
        <v>2</v>
      </c>
      <c r="F14" s="9" t="s">
        <v>3</v>
      </c>
      <c r="G14" s="9" t="s">
        <v>4</v>
      </c>
      <c r="H14" s="9" t="s">
        <v>5</v>
      </c>
      <c r="I14" s="9" t="s">
        <v>6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8"/>
    </row>
    <row r="15" spans="2:37" x14ac:dyDescent="0.3">
      <c r="B15" s="5"/>
      <c r="C15" s="7" t="s">
        <v>52</v>
      </c>
      <c r="D15" s="7">
        <v>1</v>
      </c>
      <c r="E15" s="7">
        <f>$D16/E16</f>
        <v>2.6492480806464886</v>
      </c>
      <c r="F15" s="7">
        <f t="shared" ref="F15" si="3">$D16/F16</f>
        <v>4.4045923804306328</v>
      </c>
      <c r="G15" s="7">
        <f t="shared" ref="G15" si="4">$D16/G16</f>
        <v>4.2380882621268441</v>
      </c>
      <c r="H15" s="7">
        <f t="shared" ref="H15" si="5">$D16/H16</f>
        <v>4.3777856894288742</v>
      </c>
      <c r="I15" s="7">
        <f t="shared" ref="I15" si="6">$D16/I16</f>
        <v>3.9501391948829281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8"/>
    </row>
    <row r="16" spans="2:37" x14ac:dyDescent="0.3">
      <c r="B16" s="5"/>
      <c r="C16" s="7" t="s">
        <v>48</v>
      </c>
      <c r="D16" s="7">
        <f>'Información completa'!U35</f>
        <v>79065283</v>
      </c>
      <c r="E16" s="7">
        <f>'Información completa'!V35</f>
        <v>29844424</v>
      </c>
      <c r="F16" s="7">
        <f>'Información completa'!W35</f>
        <v>17950647</v>
      </c>
      <c r="G16" s="7">
        <f>'Información completa'!X35</f>
        <v>18655884</v>
      </c>
      <c r="H16" s="7">
        <f>'Información completa'!Y35</f>
        <v>18060565</v>
      </c>
      <c r="I16" s="7">
        <f>'Información completa'!Z35</f>
        <v>20015822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8"/>
    </row>
    <row r="17" spans="2:37" x14ac:dyDescent="0.3">
      <c r="B17" s="5"/>
      <c r="C17" s="9" t="s">
        <v>45</v>
      </c>
      <c r="D17" s="9" t="s">
        <v>1</v>
      </c>
      <c r="E17" s="9" t="s">
        <v>2</v>
      </c>
      <c r="F17" s="9" t="s">
        <v>3</v>
      </c>
      <c r="G17" s="9" t="s">
        <v>4</v>
      </c>
      <c r="H17" s="9" t="s">
        <v>5</v>
      </c>
      <c r="I17" s="9" t="s">
        <v>6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8"/>
    </row>
    <row r="18" spans="2:37" x14ac:dyDescent="0.3">
      <c r="B18" s="5"/>
      <c r="C18" s="7" t="s">
        <v>53</v>
      </c>
      <c r="D18" s="7">
        <v>1</v>
      </c>
      <c r="E18" s="7">
        <f>$D19/E19</f>
        <v>2.3244176572319621</v>
      </c>
      <c r="F18" s="7">
        <f t="shared" ref="F18" si="7">$D19/F19</f>
        <v>4.3581732721418929</v>
      </c>
      <c r="G18" s="7">
        <f t="shared" ref="G18" si="8">$D19/G19</f>
        <v>2.5971644420323936</v>
      </c>
      <c r="H18" s="7">
        <f t="shared" ref="H18" si="9">$D19/H19</f>
        <v>1.8665009163725876</v>
      </c>
      <c r="I18" s="7">
        <f t="shared" ref="I18" si="10">$D19/I19</f>
        <v>1.3416191868563825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8"/>
    </row>
    <row r="19" spans="2:37" x14ac:dyDescent="0.3">
      <c r="B19" s="5"/>
      <c r="C19" s="7" t="s">
        <v>49</v>
      </c>
      <c r="D19" s="7">
        <f>'Información completa'!AC35</f>
        <v>813397322</v>
      </c>
      <c r="E19" s="7">
        <f>'Información completa'!AD35</f>
        <v>349935959</v>
      </c>
      <c r="F19" s="7">
        <f>'Información completa'!AE35</f>
        <v>186637215</v>
      </c>
      <c r="G19" s="7">
        <f>'Información completa'!AF35</f>
        <v>313186685</v>
      </c>
      <c r="H19" s="7">
        <f>'Información completa'!AG35</f>
        <v>435787261</v>
      </c>
      <c r="I19" s="7">
        <f>'Información completa'!AH35</f>
        <v>606280329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8"/>
    </row>
    <row r="20" spans="2:37" x14ac:dyDescent="0.3">
      <c r="B20" s="5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8"/>
    </row>
    <row r="21" spans="2:37" x14ac:dyDescent="0.3">
      <c r="B21" s="5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8"/>
    </row>
    <row r="22" spans="2:37" x14ac:dyDescent="0.3">
      <c r="B22" s="5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8"/>
    </row>
    <row r="23" spans="2:37" x14ac:dyDescent="0.3">
      <c r="B23" s="5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8"/>
    </row>
    <row r="24" spans="2:37" x14ac:dyDescent="0.3">
      <c r="B24" s="5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8"/>
    </row>
    <row r="25" spans="2:37" x14ac:dyDescent="0.3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8"/>
    </row>
    <row r="26" spans="2:37" x14ac:dyDescent="0.3">
      <c r="B26" s="5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8"/>
    </row>
    <row r="27" spans="2:37" x14ac:dyDescent="0.3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8"/>
    </row>
    <row r="28" spans="2:37" x14ac:dyDescent="0.3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8"/>
    </row>
    <row r="29" spans="2:37" x14ac:dyDescent="0.3">
      <c r="B29" s="5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8"/>
    </row>
    <row r="30" spans="2:37" x14ac:dyDescent="0.3">
      <c r="B30" s="5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8"/>
    </row>
    <row r="31" spans="2:37" x14ac:dyDescent="0.3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8"/>
    </row>
    <row r="32" spans="2:37" x14ac:dyDescent="0.3">
      <c r="B32" s="5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8"/>
    </row>
    <row r="33" spans="2:37" x14ac:dyDescent="0.3">
      <c r="B33" s="5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8"/>
    </row>
    <row r="34" spans="2:37" x14ac:dyDescent="0.3">
      <c r="B34" s="5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8"/>
    </row>
    <row r="35" spans="2:37" x14ac:dyDescent="0.3">
      <c r="B35" s="5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8"/>
    </row>
    <row r="36" spans="2:37" x14ac:dyDescent="0.3">
      <c r="B36" s="5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8"/>
    </row>
    <row r="37" spans="2:37" x14ac:dyDescent="0.3"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8"/>
    </row>
    <row r="38" spans="2:37" x14ac:dyDescent="0.3">
      <c r="B38" s="5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8"/>
    </row>
    <row r="39" spans="2:37" x14ac:dyDescent="0.3">
      <c r="B39" s="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8"/>
    </row>
    <row r="40" spans="2:37" x14ac:dyDescent="0.3">
      <c r="B40" s="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8"/>
    </row>
    <row r="41" spans="2:37" x14ac:dyDescent="0.3">
      <c r="B41" s="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8"/>
    </row>
    <row r="42" spans="2:37" x14ac:dyDescent="0.3">
      <c r="B42" s="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8"/>
    </row>
    <row r="43" spans="2:37" x14ac:dyDescent="0.3"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8"/>
    </row>
    <row r="44" spans="2:37" x14ac:dyDescent="0.3">
      <c r="B44" s="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8"/>
    </row>
    <row r="45" spans="2:37" x14ac:dyDescent="0.3">
      <c r="B45" s="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8"/>
    </row>
    <row r="46" spans="2:37" x14ac:dyDescent="0.3">
      <c r="B46" s="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8"/>
    </row>
    <row r="47" spans="2:37" x14ac:dyDescent="0.3">
      <c r="B47" s="5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8"/>
    </row>
    <row r="48" spans="2:37" x14ac:dyDescent="0.3">
      <c r="B48" s="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8"/>
    </row>
    <row r="49" spans="2:37" x14ac:dyDescent="0.3">
      <c r="B49" s="5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8"/>
    </row>
    <row r="50" spans="2:37" x14ac:dyDescent="0.3">
      <c r="B50" s="5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8"/>
    </row>
    <row r="51" spans="2:37" x14ac:dyDescent="0.3">
      <c r="B51" s="5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8"/>
    </row>
    <row r="52" spans="2:37" x14ac:dyDescent="0.3">
      <c r="B52" s="5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8"/>
    </row>
    <row r="53" spans="2:37" x14ac:dyDescent="0.3">
      <c r="B53" s="5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8"/>
    </row>
    <row r="54" spans="2:37" x14ac:dyDescent="0.3">
      <c r="B54" s="5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8"/>
    </row>
    <row r="55" spans="2:37" x14ac:dyDescent="0.3">
      <c r="B55" s="5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8"/>
    </row>
    <row r="56" spans="2:37" x14ac:dyDescent="0.3">
      <c r="B56" s="5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8"/>
    </row>
    <row r="57" spans="2:37" x14ac:dyDescent="0.3">
      <c r="B57" s="5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8"/>
    </row>
    <row r="58" spans="2:37" x14ac:dyDescent="0.3">
      <c r="B58" s="5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8"/>
    </row>
    <row r="59" spans="2:37" x14ac:dyDescent="0.3">
      <c r="B59" s="5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8"/>
    </row>
    <row r="60" spans="2:37" x14ac:dyDescent="0.3">
      <c r="B60" s="5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8"/>
    </row>
    <row r="61" spans="2:37" x14ac:dyDescent="0.3">
      <c r="B61" s="5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8"/>
    </row>
    <row r="62" spans="2:37" x14ac:dyDescent="0.3">
      <c r="B62" s="5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8"/>
    </row>
    <row r="63" spans="2:37" x14ac:dyDescent="0.3">
      <c r="B63" s="5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8"/>
    </row>
    <row r="64" spans="2:37" x14ac:dyDescent="0.3">
      <c r="B64" s="5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8"/>
    </row>
    <row r="65" spans="2:37" x14ac:dyDescent="0.3">
      <c r="B65" s="5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8"/>
    </row>
    <row r="66" spans="2:37" x14ac:dyDescent="0.3">
      <c r="B66" s="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8"/>
    </row>
    <row r="67" spans="2:37" x14ac:dyDescent="0.3">
      <c r="B67" s="5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8"/>
    </row>
    <row r="68" spans="2:37" x14ac:dyDescent="0.3">
      <c r="B68" s="5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8"/>
    </row>
    <row r="69" spans="2:37" x14ac:dyDescent="0.3">
      <c r="B69" s="5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8"/>
    </row>
    <row r="70" spans="2:37" ht="28.5" customHeight="1" thickBot="1" x14ac:dyDescent="0.35">
      <c r="B70" s="10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2"/>
    </row>
    <row r="73" spans="2:37" ht="15" thickBot="1" x14ac:dyDescent="0.35"/>
    <row r="74" spans="2:37" x14ac:dyDescent="0.3"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4"/>
    </row>
    <row r="75" spans="2:37" ht="36.6" x14ac:dyDescent="0.7">
      <c r="B75" s="5"/>
      <c r="C75" s="6" t="s">
        <v>41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8"/>
    </row>
    <row r="76" spans="2:37" x14ac:dyDescent="0.3">
      <c r="B76" s="5"/>
      <c r="C76" s="9" t="s">
        <v>45</v>
      </c>
      <c r="D76" s="9" t="s">
        <v>1</v>
      </c>
      <c r="E76" s="9" t="s">
        <v>2</v>
      </c>
      <c r="F76" s="9" t="s">
        <v>3</v>
      </c>
      <c r="G76" s="9" t="s">
        <v>4</v>
      </c>
      <c r="H76" s="9" t="s">
        <v>5</v>
      </c>
      <c r="I76" s="9" t="s">
        <v>6</v>
      </c>
      <c r="J76" s="7"/>
      <c r="K76" s="47" t="s">
        <v>45</v>
      </c>
      <c r="L76" s="47"/>
      <c r="M76" s="9" t="s">
        <v>1</v>
      </c>
      <c r="N76" s="9" t="s">
        <v>2</v>
      </c>
      <c r="O76" s="9" t="s">
        <v>3</v>
      </c>
      <c r="P76" s="9" t="s">
        <v>4</v>
      </c>
      <c r="Q76" s="9" t="s">
        <v>5</v>
      </c>
      <c r="R76" s="9" t="s">
        <v>6</v>
      </c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8"/>
    </row>
    <row r="77" spans="2:37" x14ac:dyDescent="0.3">
      <c r="B77" s="5"/>
      <c r="C77" s="7" t="s">
        <v>50</v>
      </c>
      <c r="D77" s="7">
        <v>1</v>
      </c>
      <c r="E77" s="7">
        <f>$D78/E78</f>
        <v>2.2092129365484521</v>
      </c>
      <c r="F77" s="7">
        <f t="shared" ref="F77" si="11">$D78/F78</f>
        <v>4.2105996146288414</v>
      </c>
      <c r="G77" s="7">
        <f t="shared" ref="G77" si="12">$D78/G78</f>
        <v>3.8838404279655796</v>
      </c>
      <c r="H77" s="7">
        <f t="shared" ref="H77" si="13">$D78/H78</f>
        <v>4.3573205401563611</v>
      </c>
      <c r="I77" s="7">
        <f t="shared" ref="I77" si="14">$D78/I78</f>
        <v>3.8679132857818828</v>
      </c>
      <c r="J77" s="7"/>
      <c r="K77" s="48" t="s">
        <v>54</v>
      </c>
      <c r="L77" s="48"/>
      <c r="M77" s="7">
        <f t="shared" ref="M77:R77" si="15">(D77+D80+D83+D86)/4</f>
        <v>1</v>
      </c>
      <c r="N77" s="7">
        <f t="shared" si="15"/>
        <v>2.4434006946563898</v>
      </c>
      <c r="O77" s="7">
        <f t="shared" si="15"/>
        <v>4.3870799897724142</v>
      </c>
      <c r="P77" s="7">
        <f t="shared" si="15"/>
        <v>4.9403533481550088</v>
      </c>
      <c r="Q77" s="7">
        <f t="shared" si="15"/>
        <v>4.7966965451142034</v>
      </c>
      <c r="R77" s="7">
        <f t="shared" si="15"/>
        <v>4.5613222770104587</v>
      </c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8"/>
    </row>
    <row r="78" spans="2:37" x14ac:dyDescent="0.3">
      <c r="B78" s="5"/>
      <c r="C78" s="7" t="s">
        <v>46</v>
      </c>
      <c r="D78" s="7">
        <f>'Información completa'!E71</f>
        <v>220707</v>
      </c>
      <c r="E78" s="7">
        <f>'Información completa'!F71</f>
        <v>99903</v>
      </c>
      <c r="F78" s="7">
        <f>'Información completa'!G71</f>
        <v>52417</v>
      </c>
      <c r="G78" s="7">
        <f>'Información completa'!H71</f>
        <v>56827</v>
      </c>
      <c r="H78" s="7">
        <f>'Información completa'!I71</f>
        <v>50652</v>
      </c>
      <c r="I78" s="7">
        <f>'Información completa'!J71</f>
        <v>57061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8"/>
    </row>
    <row r="79" spans="2:37" x14ac:dyDescent="0.3">
      <c r="B79" s="5"/>
      <c r="C79" s="9" t="s">
        <v>45</v>
      </c>
      <c r="D79" s="9" t="s">
        <v>1</v>
      </c>
      <c r="E79" s="9" t="s">
        <v>2</v>
      </c>
      <c r="F79" s="9" t="s">
        <v>3</v>
      </c>
      <c r="G79" s="9" t="s">
        <v>4</v>
      </c>
      <c r="H79" s="9" t="s">
        <v>5</v>
      </c>
      <c r="I79" s="9" t="s">
        <v>6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8"/>
    </row>
    <row r="80" spans="2:37" x14ac:dyDescent="0.3">
      <c r="B80" s="5"/>
      <c r="C80" s="7" t="s">
        <v>51</v>
      </c>
      <c r="D80" s="7">
        <v>1</v>
      </c>
      <c r="E80" s="7">
        <f>$D81/E81</f>
        <v>3.2769661650355277</v>
      </c>
      <c r="F80" s="7">
        <f t="shared" ref="F80" si="16">$D81/F81</f>
        <v>5.3776409600616022</v>
      </c>
      <c r="G80" s="7">
        <f t="shared" ref="G80" si="17">$D81/G81</f>
        <v>8.3389260403367889</v>
      </c>
      <c r="H80" s="7">
        <f t="shared" ref="H80" si="18">$D81/H81</f>
        <v>7.5758691077797771</v>
      </c>
      <c r="I80" s="7">
        <f>$D81/I81</f>
        <v>7.7457392974916077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8"/>
    </row>
    <row r="81" spans="2:37" x14ac:dyDescent="0.3">
      <c r="B81" s="5"/>
      <c r="C81" s="7" t="s">
        <v>47</v>
      </c>
      <c r="D81" s="7">
        <f>'Información completa'!M71</f>
        <v>3128690</v>
      </c>
      <c r="E81" s="7">
        <f>'Información completa'!N71</f>
        <v>954752</v>
      </c>
      <c r="F81" s="7">
        <f>'Información completa'!O71</f>
        <v>581796</v>
      </c>
      <c r="G81" s="7">
        <f>'Información completa'!P71</f>
        <v>375191</v>
      </c>
      <c r="H81" s="7">
        <f>'Información completa'!Q71</f>
        <v>412981</v>
      </c>
      <c r="I81" s="7">
        <f>'Información completa'!R71</f>
        <v>403924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8"/>
    </row>
    <row r="82" spans="2:37" x14ac:dyDescent="0.3">
      <c r="B82" s="5"/>
      <c r="C82" s="9" t="s">
        <v>45</v>
      </c>
      <c r="D82" s="9" t="s">
        <v>1</v>
      </c>
      <c r="E82" s="9" t="s">
        <v>2</v>
      </c>
      <c r="F82" s="9" t="s">
        <v>3</v>
      </c>
      <c r="G82" s="9" t="s">
        <v>4</v>
      </c>
      <c r="H82" s="9" t="s">
        <v>5</v>
      </c>
      <c r="I82" s="9" t="s">
        <v>6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8"/>
    </row>
    <row r="83" spans="2:37" x14ac:dyDescent="0.3">
      <c r="B83" s="5"/>
      <c r="C83" s="7" t="s">
        <v>52</v>
      </c>
      <c r="D83" s="7">
        <v>1</v>
      </c>
      <c r="E83" s="7">
        <f>$D84/E84</f>
        <v>2.1698463499338589</v>
      </c>
      <c r="F83" s="7">
        <f t="shared" ref="F83" si="19">$D84/F84</f>
        <v>3.9222105490040695</v>
      </c>
      <c r="G83" s="7">
        <f t="shared" ref="G83" si="20">$D84/G84</f>
        <v>4.1115850368137012</v>
      </c>
      <c r="H83" s="7">
        <f t="shared" ref="H83" si="21">$D84/H84</f>
        <v>4.3826038603545303</v>
      </c>
      <c r="I83" s="7">
        <f>$D84/I84</f>
        <v>4.025781166328537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8"/>
    </row>
    <row r="84" spans="2:37" x14ac:dyDescent="0.3">
      <c r="B84" s="5"/>
      <c r="C84" s="7" t="s">
        <v>48</v>
      </c>
      <c r="D84" s="7">
        <f>'Información completa'!U71</f>
        <v>79012453</v>
      </c>
      <c r="E84" s="7">
        <f>'Información completa'!V71</f>
        <v>36413847</v>
      </c>
      <c r="F84" s="7">
        <f>'Información completa'!W71</f>
        <v>20144878</v>
      </c>
      <c r="G84" s="7">
        <f>'Información completa'!X71</f>
        <v>19217030</v>
      </c>
      <c r="H84" s="7">
        <f>'Información completa'!Y71</f>
        <v>18028655</v>
      </c>
      <c r="I84" s="7">
        <f>'Información completa'!Z71</f>
        <v>19626614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8"/>
    </row>
    <row r="85" spans="2:37" x14ac:dyDescent="0.3">
      <c r="B85" s="5"/>
      <c r="C85" s="9" t="s">
        <v>45</v>
      </c>
      <c r="D85" s="9" t="s">
        <v>1</v>
      </c>
      <c r="E85" s="9" t="s">
        <v>2</v>
      </c>
      <c r="F85" s="9" t="s">
        <v>3</v>
      </c>
      <c r="G85" s="9" t="s">
        <v>4</v>
      </c>
      <c r="H85" s="9" t="s">
        <v>5</v>
      </c>
      <c r="I85" s="9" t="s">
        <v>6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8"/>
    </row>
    <row r="86" spans="2:37" x14ac:dyDescent="0.3">
      <c r="B86" s="5"/>
      <c r="C86" s="7" t="s">
        <v>53</v>
      </c>
      <c r="D86" s="7">
        <v>1</v>
      </c>
      <c r="E86" s="7">
        <f>$D87/E87</f>
        <v>2.1175773271077185</v>
      </c>
      <c r="F86" s="7">
        <f t="shared" ref="F86" si="22">$D87/F87</f>
        <v>4.0378688353951455</v>
      </c>
      <c r="G86" s="7">
        <f t="shared" ref="G86" si="23">$D87/G87</f>
        <v>3.4270618875039665</v>
      </c>
      <c r="H86" s="7">
        <f t="shared" ref="H86" si="24">$D87/H87</f>
        <v>2.8709926721661465</v>
      </c>
      <c r="I86" s="7">
        <f>$D87/I87</f>
        <v>2.6058553584398072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8"/>
    </row>
    <row r="87" spans="2:37" x14ac:dyDescent="0.3">
      <c r="B87" s="5"/>
      <c r="C87" s="7" t="s">
        <v>49</v>
      </c>
      <c r="D87" s="7">
        <f>'Información completa'!AC71</f>
        <v>1001964683</v>
      </c>
      <c r="E87" s="7">
        <f>'Información completa'!AD71</f>
        <v>473165570</v>
      </c>
      <c r="F87" s="7">
        <f>'Información completa'!AE71</f>
        <v>248141959</v>
      </c>
      <c r="G87" s="7">
        <f>'Información completa'!AF71</f>
        <v>292368424</v>
      </c>
      <c r="H87" s="7">
        <f>'Información completa'!AG71</f>
        <v>348995904</v>
      </c>
      <c r="I87" s="7">
        <f>'Información completa'!AH71</f>
        <v>384505103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8"/>
    </row>
    <row r="88" spans="2:37" x14ac:dyDescent="0.3">
      <c r="B88" s="5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8"/>
    </row>
    <row r="89" spans="2:37" x14ac:dyDescent="0.3">
      <c r="B89" s="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8"/>
    </row>
    <row r="90" spans="2:37" x14ac:dyDescent="0.3">
      <c r="B90" s="5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8"/>
    </row>
    <row r="91" spans="2:37" x14ac:dyDescent="0.3">
      <c r="B91" s="5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8"/>
    </row>
    <row r="92" spans="2:37" x14ac:dyDescent="0.3">
      <c r="B92" s="5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8"/>
    </row>
    <row r="93" spans="2:37" x14ac:dyDescent="0.3">
      <c r="B93" s="5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8"/>
    </row>
    <row r="94" spans="2:37" x14ac:dyDescent="0.3">
      <c r="B94" s="5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8"/>
    </row>
    <row r="95" spans="2:37" x14ac:dyDescent="0.3">
      <c r="B95" s="5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8"/>
    </row>
    <row r="96" spans="2:37" x14ac:dyDescent="0.3">
      <c r="B96" s="5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8"/>
    </row>
    <row r="97" spans="2:37" x14ac:dyDescent="0.3">
      <c r="B97" s="5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8"/>
    </row>
    <row r="98" spans="2:37" x14ac:dyDescent="0.3">
      <c r="B98" s="5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8"/>
    </row>
    <row r="99" spans="2:37" x14ac:dyDescent="0.3">
      <c r="B99" s="5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8"/>
    </row>
    <row r="100" spans="2:37" x14ac:dyDescent="0.3">
      <c r="B100" s="5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8"/>
    </row>
    <row r="101" spans="2:37" x14ac:dyDescent="0.3">
      <c r="B101" s="5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8"/>
    </row>
    <row r="102" spans="2:37" x14ac:dyDescent="0.3">
      <c r="B102" s="5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8"/>
    </row>
    <row r="103" spans="2:37" x14ac:dyDescent="0.3">
      <c r="B103" s="5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8"/>
    </row>
    <row r="104" spans="2:37" x14ac:dyDescent="0.3">
      <c r="B104" s="5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8"/>
    </row>
    <row r="105" spans="2:37" x14ac:dyDescent="0.3">
      <c r="B105" s="5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8"/>
    </row>
    <row r="106" spans="2:37" x14ac:dyDescent="0.3">
      <c r="B106" s="5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8"/>
    </row>
    <row r="107" spans="2:37" x14ac:dyDescent="0.3">
      <c r="B107" s="5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8"/>
    </row>
    <row r="108" spans="2:37" x14ac:dyDescent="0.3">
      <c r="B108" s="5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8"/>
    </row>
    <row r="109" spans="2:37" x14ac:dyDescent="0.3">
      <c r="B109" s="5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8"/>
    </row>
    <row r="110" spans="2:37" x14ac:dyDescent="0.3">
      <c r="B110" s="5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8"/>
    </row>
    <row r="111" spans="2:37" x14ac:dyDescent="0.3">
      <c r="B111" s="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8"/>
    </row>
    <row r="112" spans="2:37" x14ac:dyDescent="0.3">
      <c r="B112" s="5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8"/>
    </row>
    <row r="113" spans="2:37" x14ac:dyDescent="0.3">
      <c r="B113" s="5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8"/>
    </row>
    <row r="114" spans="2:37" x14ac:dyDescent="0.3">
      <c r="B114" s="5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8"/>
    </row>
    <row r="115" spans="2:37" x14ac:dyDescent="0.3">
      <c r="B115" s="5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8"/>
    </row>
    <row r="116" spans="2:37" x14ac:dyDescent="0.3">
      <c r="B116" s="5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8"/>
    </row>
    <row r="117" spans="2:37" x14ac:dyDescent="0.3">
      <c r="B117" s="5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8"/>
    </row>
    <row r="118" spans="2:37" x14ac:dyDescent="0.3">
      <c r="B118" s="5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8"/>
    </row>
    <row r="119" spans="2:37" x14ac:dyDescent="0.3">
      <c r="B119" s="5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8"/>
    </row>
    <row r="120" spans="2:37" x14ac:dyDescent="0.3">
      <c r="B120" s="5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8"/>
    </row>
    <row r="121" spans="2:37" x14ac:dyDescent="0.3">
      <c r="B121" s="5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8"/>
    </row>
    <row r="122" spans="2:37" x14ac:dyDescent="0.3">
      <c r="B122" s="5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8"/>
    </row>
    <row r="123" spans="2:37" x14ac:dyDescent="0.3">
      <c r="B123" s="5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8"/>
    </row>
    <row r="124" spans="2:37" x14ac:dyDescent="0.3">
      <c r="B124" s="5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8"/>
    </row>
    <row r="125" spans="2:37" x14ac:dyDescent="0.3">
      <c r="B125" s="5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8"/>
    </row>
    <row r="126" spans="2:37" x14ac:dyDescent="0.3">
      <c r="B126" s="5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8"/>
    </row>
    <row r="127" spans="2:37" x14ac:dyDescent="0.3">
      <c r="B127" s="5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8"/>
    </row>
    <row r="128" spans="2:37" x14ac:dyDescent="0.3">
      <c r="B128" s="5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8"/>
    </row>
    <row r="129" spans="2:37" x14ac:dyDescent="0.3">
      <c r="B129" s="5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8"/>
    </row>
    <row r="130" spans="2:37" x14ac:dyDescent="0.3">
      <c r="B130" s="5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8"/>
    </row>
    <row r="131" spans="2:37" x14ac:dyDescent="0.3">
      <c r="B131" s="5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8"/>
    </row>
    <row r="132" spans="2:37" x14ac:dyDescent="0.3">
      <c r="B132" s="5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8"/>
    </row>
    <row r="133" spans="2:37" x14ac:dyDescent="0.3">
      <c r="B133" s="5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8"/>
    </row>
    <row r="134" spans="2:37" x14ac:dyDescent="0.3">
      <c r="B134" s="5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8"/>
    </row>
    <row r="135" spans="2:37" x14ac:dyDescent="0.3">
      <c r="B135" s="5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8"/>
    </row>
    <row r="136" spans="2:37" x14ac:dyDescent="0.3">
      <c r="B136" s="5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8"/>
    </row>
    <row r="137" spans="2:37" x14ac:dyDescent="0.3">
      <c r="B137" s="5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8"/>
    </row>
    <row r="138" spans="2:37" ht="28.95" customHeight="1" thickBot="1" x14ac:dyDescent="0.35">
      <c r="B138" s="10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2"/>
    </row>
    <row r="141" spans="2:37" ht="15" thickBot="1" x14ac:dyDescent="0.35"/>
    <row r="142" spans="2:37" x14ac:dyDescent="0.3"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4"/>
    </row>
    <row r="143" spans="2:37" ht="36.6" x14ac:dyDescent="0.7">
      <c r="B143" s="5"/>
      <c r="C143" s="6" t="s">
        <v>42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8"/>
    </row>
    <row r="144" spans="2:37" x14ac:dyDescent="0.3">
      <c r="B144" s="5"/>
      <c r="C144" s="9" t="s">
        <v>45</v>
      </c>
      <c r="D144" s="9" t="s">
        <v>1</v>
      </c>
      <c r="E144" s="9" t="s">
        <v>2</v>
      </c>
      <c r="F144" s="9" t="s">
        <v>3</v>
      </c>
      <c r="G144" s="9" t="s">
        <v>4</v>
      </c>
      <c r="H144" s="9" t="s">
        <v>5</v>
      </c>
      <c r="I144" s="9" t="s">
        <v>6</v>
      </c>
      <c r="J144" s="7"/>
      <c r="K144" s="47" t="s">
        <v>45</v>
      </c>
      <c r="L144" s="47"/>
      <c r="M144" s="9" t="s">
        <v>1</v>
      </c>
      <c r="N144" s="9" t="s">
        <v>2</v>
      </c>
      <c r="O144" s="9" t="s">
        <v>3</v>
      </c>
      <c r="P144" s="9" t="s">
        <v>4</v>
      </c>
      <c r="Q144" s="9" t="s">
        <v>5</v>
      </c>
      <c r="R144" s="9" t="s">
        <v>6</v>
      </c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8"/>
    </row>
    <row r="145" spans="2:37" x14ac:dyDescent="0.3">
      <c r="B145" s="5"/>
      <c r="C145" s="7" t="s">
        <v>50</v>
      </c>
      <c r="D145" s="7">
        <v>1</v>
      </c>
      <c r="E145" s="7">
        <f>$D146/E146</f>
        <v>2.1531659791250353</v>
      </c>
      <c r="F145" s="7">
        <f t="shared" ref="F145" si="25">$D146/F146</f>
        <v>4.2730439518668337</v>
      </c>
      <c r="G145" s="7">
        <f t="shared" ref="G145" si="26">$D146/G146</f>
        <v>5.4252486908166278</v>
      </c>
      <c r="H145" s="7">
        <f t="shared" ref="H145" si="27">$D146/H146</f>
        <v>7.0384550687799043</v>
      </c>
      <c r="I145" s="7">
        <f t="shared" ref="I145" si="28">$D146/I146</f>
        <v>7.1708717343285855</v>
      </c>
      <c r="J145" s="7"/>
      <c r="K145" s="48" t="s">
        <v>54</v>
      </c>
      <c r="L145" s="48"/>
      <c r="M145" s="7">
        <f t="shared" ref="M145:R145" si="29">(D145+D148+D151+D154)/4</f>
        <v>1</v>
      </c>
      <c r="N145" s="7">
        <f t="shared" si="29"/>
        <v>2.5364493013962148</v>
      </c>
      <c r="O145" s="7">
        <f t="shared" si="29"/>
        <v>4.528693449851998</v>
      </c>
      <c r="P145" s="7">
        <f t="shared" si="29"/>
        <v>5.3276667351590818</v>
      </c>
      <c r="Q145" s="7">
        <f t="shared" si="29"/>
        <v>6.1920185686477911</v>
      </c>
      <c r="R145" s="7">
        <f t="shared" si="29"/>
        <v>6.5138686899487279</v>
      </c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8"/>
    </row>
    <row r="146" spans="2:37" x14ac:dyDescent="0.3">
      <c r="B146" s="5"/>
      <c r="C146" s="7" t="s">
        <v>46</v>
      </c>
      <c r="D146" s="7">
        <f>'Información completa'!E107</f>
        <v>753171</v>
      </c>
      <c r="E146" s="7">
        <f>'Información completa'!F107</f>
        <v>349797</v>
      </c>
      <c r="F146" s="7">
        <f>'Información completa'!G107</f>
        <v>176261</v>
      </c>
      <c r="G146" s="7">
        <f>'Información completa'!H107</f>
        <v>138827</v>
      </c>
      <c r="H146" s="7">
        <f>'Información completa'!I107</f>
        <v>107008</v>
      </c>
      <c r="I146" s="7">
        <f>'Información completa'!J107</f>
        <v>105032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8"/>
    </row>
    <row r="147" spans="2:37" x14ac:dyDescent="0.3">
      <c r="B147" s="5"/>
      <c r="C147" s="9" t="s">
        <v>45</v>
      </c>
      <c r="D147" s="9" t="s">
        <v>1</v>
      </c>
      <c r="E147" s="9" t="s">
        <v>2</v>
      </c>
      <c r="F147" s="9" t="s">
        <v>3</v>
      </c>
      <c r="G147" s="9" t="s">
        <v>4</v>
      </c>
      <c r="H147" s="9" t="s">
        <v>5</v>
      </c>
      <c r="I147" s="9" t="s">
        <v>6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8"/>
    </row>
    <row r="148" spans="2:37" x14ac:dyDescent="0.3">
      <c r="B148" s="5"/>
      <c r="C148" s="7" t="s">
        <v>51</v>
      </c>
      <c r="D148" s="7">
        <v>1</v>
      </c>
      <c r="E148" s="7">
        <f>$D149/E149</f>
        <v>3.0112902238737145</v>
      </c>
      <c r="F148" s="7">
        <f t="shared" ref="F148" si="30">$D149/F149</f>
        <v>5.1016619596550203</v>
      </c>
      <c r="G148" s="7">
        <f t="shared" ref="G148" si="31">$D149/G149</f>
        <v>8.7182976100459424</v>
      </c>
      <c r="H148" s="7">
        <f t="shared" ref="H148" si="32">$D149/H149</f>
        <v>11.078075726034173</v>
      </c>
      <c r="I148" s="7">
        <f>$D149/I149</f>
        <v>12.937943127804123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8"/>
    </row>
    <row r="149" spans="2:37" x14ac:dyDescent="0.3">
      <c r="B149" s="5"/>
      <c r="C149" s="7" t="s">
        <v>47</v>
      </c>
      <c r="D149" s="7">
        <f>'Información completa'!M107</f>
        <v>6987175</v>
      </c>
      <c r="E149" s="7">
        <f>'Información completa'!N107</f>
        <v>2320326</v>
      </c>
      <c r="F149" s="7">
        <f>'Información completa'!O107</f>
        <v>1369588</v>
      </c>
      <c r="G149" s="7">
        <f>'Información completa'!P107</f>
        <v>801438</v>
      </c>
      <c r="H149" s="7">
        <f>'Información completa'!Q107</f>
        <v>630721</v>
      </c>
      <c r="I149" s="7">
        <f>'Información completa'!R107</f>
        <v>540053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8"/>
    </row>
    <row r="150" spans="2:37" x14ac:dyDescent="0.3">
      <c r="B150" s="5"/>
      <c r="C150" s="9" t="s">
        <v>45</v>
      </c>
      <c r="D150" s="9" t="s">
        <v>1</v>
      </c>
      <c r="E150" s="9" t="s">
        <v>2</v>
      </c>
      <c r="F150" s="9" t="s">
        <v>3</v>
      </c>
      <c r="G150" s="9" t="s">
        <v>4</v>
      </c>
      <c r="H150" s="9" t="s">
        <v>5</v>
      </c>
      <c r="I150" s="9" t="s">
        <v>6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8"/>
    </row>
    <row r="151" spans="2:37" x14ac:dyDescent="0.3">
      <c r="B151" s="5"/>
      <c r="C151" s="7" t="s">
        <v>52</v>
      </c>
      <c r="D151" s="7">
        <v>1</v>
      </c>
      <c r="E151" s="7">
        <f>$D152/E152</f>
        <v>2.6543098237878935</v>
      </c>
      <c r="F151" s="7">
        <f t="shared" ref="F151" si="33">$D152/F152</f>
        <v>4.3840760649686263</v>
      </c>
      <c r="G151" s="7">
        <f t="shared" ref="G151" si="34">$D152/G152</f>
        <v>4.4239870459111446</v>
      </c>
      <c r="H151" s="7">
        <f t="shared" ref="H151" si="35">$D152/H152</f>
        <v>4.5293258581494502</v>
      </c>
      <c r="I151" s="7">
        <f>$D152/I152</f>
        <v>4.413504222032361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8"/>
    </row>
    <row r="152" spans="2:37" x14ac:dyDescent="0.3">
      <c r="B152" s="5"/>
      <c r="C152" s="7" t="s">
        <v>48</v>
      </c>
      <c r="D152" s="7">
        <f>'Información completa'!U107</f>
        <v>78974150</v>
      </c>
      <c r="E152" s="7">
        <f>'Información completa'!V107</f>
        <v>29753177</v>
      </c>
      <c r="F152" s="7">
        <f>'Información completa'!W107</f>
        <v>18013864</v>
      </c>
      <c r="G152" s="7">
        <f>'Información completa'!X107</f>
        <v>17851352</v>
      </c>
      <c r="H152" s="7">
        <f>'Información completa'!Y107</f>
        <v>17436182</v>
      </c>
      <c r="I152" s="7">
        <f>'Información completa'!Z107</f>
        <v>17893752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8"/>
    </row>
    <row r="153" spans="2:37" x14ac:dyDescent="0.3">
      <c r="B153" s="5"/>
      <c r="C153" s="9" t="s">
        <v>45</v>
      </c>
      <c r="D153" s="9" t="s">
        <v>1</v>
      </c>
      <c r="E153" s="9" t="s">
        <v>2</v>
      </c>
      <c r="F153" s="9" t="s">
        <v>3</v>
      </c>
      <c r="G153" s="9" t="s">
        <v>4</v>
      </c>
      <c r="H153" s="9" t="s">
        <v>5</v>
      </c>
      <c r="I153" s="9" t="s">
        <v>6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8"/>
    </row>
    <row r="154" spans="2:37" x14ac:dyDescent="0.3">
      <c r="B154" s="5"/>
      <c r="C154" s="7" t="s">
        <v>53</v>
      </c>
      <c r="D154" s="7">
        <v>1</v>
      </c>
      <c r="E154" s="7">
        <f>$D155/E155</f>
        <v>2.3270311787982161</v>
      </c>
      <c r="F154" s="7">
        <f t="shared" ref="F154" si="36">$D155/F155</f>
        <v>4.3559918229175105</v>
      </c>
      <c r="G154" s="7">
        <f t="shared" ref="G154" si="37">$D155/G155</f>
        <v>2.7431335938626131</v>
      </c>
      <c r="H154" s="7">
        <f t="shared" ref="H154" si="38">$D155/H155</f>
        <v>2.1222176216276321</v>
      </c>
      <c r="I154" s="7">
        <f>$D155/I155</f>
        <v>1.5331556756298386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8"/>
    </row>
    <row r="155" spans="2:37" x14ac:dyDescent="0.3">
      <c r="B155" s="5"/>
      <c r="C155" s="7" t="s">
        <v>49</v>
      </c>
      <c r="D155" s="7">
        <f>'Información completa'!AC107</f>
        <v>812694049</v>
      </c>
      <c r="E155" s="7">
        <f>'Información completa'!AD107</f>
        <v>349240722</v>
      </c>
      <c r="F155" s="7">
        <f>'Información completa'!AE107</f>
        <v>186569232</v>
      </c>
      <c r="G155" s="7">
        <f>'Información completa'!AF107</f>
        <v>296264845</v>
      </c>
      <c r="H155" s="7">
        <f>'Información completa'!AG107</f>
        <v>382945670</v>
      </c>
      <c r="I155" s="7">
        <f>'Información completa'!AH107</f>
        <v>530079275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8"/>
    </row>
    <row r="156" spans="2:37" x14ac:dyDescent="0.3">
      <c r="B156" s="5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8"/>
    </row>
    <row r="157" spans="2:37" x14ac:dyDescent="0.3">
      <c r="B157" s="5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8"/>
    </row>
    <row r="158" spans="2:37" x14ac:dyDescent="0.3">
      <c r="B158" s="5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8"/>
    </row>
    <row r="159" spans="2:37" x14ac:dyDescent="0.3">
      <c r="B159" s="5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8"/>
    </row>
    <row r="160" spans="2:37" x14ac:dyDescent="0.3">
      <c r="B160" s="5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8"/>
    </row>
    <row r="161" spans="2:37" x14ac:dyDescent="0.3">
      <c r="B161" s="5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8"/>
    </row>
    <row r="162" spans="2:37" x14ac:dyDescent="0.3">
      <c r="B162" s="5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8"/>
    </row>
    <row r="163" spans="2:37" x14ac:dyDescent="0.3">
      <c r="B163" s="5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8"/>
    </row>
    <row r="164" spans="2:37" x14ac:dyDescent="0.3">
      <c r="B164" s="5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8"/>
    </row>
    <row r="165" spans="2:37" x14ac:dyDescent="0.3">
      <c r="B165" s="5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8"/>
    </row>
    <row r="166" spans="2:37" x14ac:dyDescent="0.3">
      <c r="B166" s="5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8"/>
    </row>
    <row r="167" spans="2:37" x14ac:dyDescent="0.3">
      <c r="B167" s="5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8"/>
    </row>
    <row r="168" spans="2:37" x14ac:dyDescent="0.3">
      <c r="B168" s="5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8"/>
    </row>
    <row r="169" spans="2:37" x14ac:dyDescent="0.3">
      <c r="B169" s="5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8"/>
    </row>
    <row r="170" spans="2:37" x14ac:dyDescent="0.3">
      <c r="B170" s="5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8"/>
    </row>
    <row r="171" spans="2:37" x14ac:dyDescent="0.3">
      <c r="B171" s="5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8"/>
    </row>
    <row r="172" spans="2:37" x14ac:dyDescent="0.3">
      <c r="B172" s="5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8"/>
    </row>
    <row r="173" spans="2:37" x14ac:dyDescent="0.3">
      <c r="B173" s="5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8"/>
    </row>
    <row r="174" spans="2:37" x14ac:dyDescent="0.3">
      <c r="B174" s="5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8"/>
    </row>
    <row r="175" spans="2:37" x14ac:dyDescent="0.3">
      <c r="B175" s="5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8"/>
    </row>
    <row r="176" spans="2:37" x14ac:dyDescent="0.3">
      <c r="B176" s="5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8"/>
    </row>
    <row r="177" spans="2:37" x14ac:dyDescent="0.3">
      <c r="B177" s="5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8"/>
    </row>
    <row r="178" spans="2:37" x14ac:dyDescent="0.3">
      <c r="B178" s="5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8"/>
    </row>
    <row r="179" spans="2:37" x14ac:dyDescent="0.3">
      <c r="B179" s="5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8"/>
    </row>
    <row r="180" spans="2:37" x14ac:dyDescent="0.3">
      <c r="B180" s="5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8"/>
    </row>
    <row r="181" spans="2:37" x14ac:dyDescent="0.3">
      <c r="B181" s="5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8"/>
    </row>
    <row r="182" spans="2:37" x14ac:dyDescent="0.3">
      <c r="B182" s="5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8"/>
    </row>
    <row r="183" spans="2:37" x14ac:dyDescent="0.3">
      <c r="B183" s="5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8"/>
    </row>
    <row r="184" spans="2:37" x14ac:dyDescent="0.3">
      <c r="B184" s="5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8"/>
    </row>
    <row r="185" spans="2:37" x14ac:dyDescent="0.3">
      <c r="B185" s="5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8"/>
    </row>
    <row r="186" spans="2:37" x14ac:dyDescent="0.3">
      <c r="B186" s="5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8"/>
    </row>
    <row r="187" spans="2:37" x14ac:dyDescent="0.3">
      <c r="B187" s="5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8"/>
    </row>
    <row r="188" spans="2:37" x14ac:dyDescent="0.3">
      <c r="B188" s="5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8"/>
    </row>
    <row r="189" spans="2:37" x14ac:dyDescent="0.3">
      <c r="B189" s="5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8"/>
    </row>
    <row r="190" spans="2:37" x14ac:dyDescent="0.3">
      <c r="B190" s="5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8"/>
    </row>
    <row r="191" spans="2:37" x14ac:dyDescent="0.3">
      <c r="B191" s="5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8"/>
    </row>
    <row r="192" spans="2:37" x14ac:dyDescent="0.3">
      <c r="B192" s="5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8"/>
    </row>
    <row r="193" spans="2:37" x14ac:dyDescent="0.3">
      <c r="B193" s="5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8"/>
    </row>
    <row r="194" spans="2:37" x14ac:dyDescent="0.3">
      <c r="B194" s="5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8"/>
    </row>
    <row r="195" spans="2:37" x14ac:dyDescent="0.3">
      <c r="B195" s="5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8"/>
    </row>
    <row r="196" spans="2:37" x14ac:dyDescent="0.3">
      <c r="B196" s="5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8"/>
    </row>
    <row r="197" spans="2:37" x14ac:dyDescent="0.3">
      <c r="B197" s="5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8"/>
    </row>
    <row r="198" spans="2:37" x14ac:dyDescent="0.3">
      <c r="B198" s="5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8"/>
    </row>
    <row r="199" spans="2:37" x14ac:dyDescent="0.3">
      <c r="B199" s="5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8"/>
    </row>
    <row r="200" spans="2:37" x14ac:dyDescent="0.3">
      <c r="B200" s="5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8"/>
    </row>
    <row r="201" spans="2:37" x14ac:dyDescent="0.3">
      <c r="B201" s="5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8"/>
    </row>
    <row r="202" spans="2:37" x14ac:dyDescent="0.3">
      <c r="B202" s="5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8"/>
    </row>
    <row r="203" spans="2:37" x14ac:dyDescent="0.3">
      <c r="B203" s="5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8"/>
    </row>
    <row r="204" spans="2:37" x14ac:dyDescent="0.3">
      <c r="B204" s="5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8"/>
    </row>
    <row r="205" spans="2:37" x14ac:dyDescent="0.3">
      <c r="B205" s="5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8"/>
    </row>
    <row r="206" spans="2:37" ht="30.45" customHeight="1" thickBot="1" x14ac:dyDescent="0.35">
      <c r="B206" s="10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2"/>
    </row>
    <row r="209" spans="2:37" ht="15" thickBot="1" x14ac:dyDescent="0.35"/>
    <row r="210" spans="2:37" x14ac:dyDescent="0.3"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4"/>
    </row>
    <row r="211" spans="2:37" ht="36.6" x14ac:dyDescent="0.7">
      <c r="B211" s="5"/>
      <c r="C211" s="6" t="s">
        <v>43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8"/>
    </row>
    <row r="212" spans="2:37" x14ac:dyDescent="0.3">
      <c r="B212" s="5"/>
      <c r="C212" s="9" t="s">
        <v>45</v>
      </c>
      <c r="D212" s="9" t="s">
        <v>1</v>
      </c>
      <c r="E212" s="9" t="s">
        <v>2</v>
      </c>
      <c r="F212" s="9" t="s">
        <v>3</v>
      </c>
      <c r="G212" s="9" t="s">
        <v>4</v>
      </c>
      <c r="H212" s="9" t="s">
        <v>5</v>
      </c>
      <c r="I212" s="9" t="s">
        <v>6</v>
      </c>
      <c r="J212" s="7"/>
      <c r="K212" s="47" t="s">
        <v>45</v>
      </c>
      <c r="L212" s="47"/>
      <c r="M212" s="9" t="s">
        <v>1</v>
      </c>
      <c r="N212" s="9" t="s">
        <v>2</v>
      </c>
      <c r="O212" s="9" t="s">
        <v>3</v>
      </c>
      <c r="P212" s="9" t="s">
        <v>4</v>
      </c>
      <c r="Q212" s="9" t="s">
        <v>5</v>
      </c>
      <c r="R212" s="9" t="s">
        <v>6</v>
      </c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8"/>
    </row>
    <row r="213" spans="2:37" x14ac:dyDescent="0.3">
      <c r="B213" s="5"/>
      <c r="C213" s="7" t="s">
        <v>50</v>
      </c>
      <c r="D213" s="7">
        <v>1</v>
      </c>
      <c r="E213" s="7">
        <f>$D214/E214</f>
        <v>2.166972962086501</v>
      </c>
      <c r="F213" s="7">
        <f t="shared" ref="F213" si="39">$D214/F214</f>
        <v>4.2428342575477513</v>
      </c>
      <c r="G213" s="7">
        <f t="shared" ref="G213" si="40">$D214/G214</f>
        <v>4.2317789631523315</v>
      </c>
      <c r="H213" s="7">
        <f t="shared" ref="H213" si="41">$D214/H214</f>
        <v>5.4851999362752908</v>
      </c>
      <c r="I213" s="7">
        <f t="shared" ref="I213" si="42">$D214/I214</f>
        <v>5.6562294651071099</v>
      </c>
      <c r="J213" s="7"/>
      <c r="K213" s="48" t="s">
        <v>54</v>
      </c>
      <c r="L213" s="48"/>
      <c r="M213" s="7">
        <f t="shared" ref="M213:R213" si="43">(D213+D216+D219+D222)/4</f>
        <v>1</v>
      </c>
      <c r="N213" s="7">
        <f t="shared" si="43"/>
        <v>2.1165867879609506</v>
      </c>
      <c r="O213" s="7">
        <f t="shared" si="43"/>
        <v>4.0243885373357351</v>
      </c>
      <c r="P213" s="7">
        <f t="shared" si="43"/>
        <v>5.6106093984384451</v>
      </c>
      <c r="Q213" s="7">
        <f t="shared" si="43"/>
        <v>6.915424828573796</v>
      </c>
      <c r="R213" s="7">
        <f t="shared" si="43"/>
        <v>6.8121732424711157</v>
      </c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8"/>
    </row>
    <row r="214" spans="2:37" x14ac:dyDescent="0.3">
      <c r="B214" s="5"/>
      <c r="C214" s="7" t="s">
        <v>46</v>
      </c>
      <c r="D214" s="7">
        <f>'Información completa'!E143</f>
        <v>172153</v>
      </c>
      <c r="E214" s="7">
        <f>'Información completa'!F143</f>
        <v>79444</v>
      </c>
      <c r="F214" s="7">
        <f>'Información completa'!G143</f>
        <v>40575</v>
      </c>
      <c r="G214" s="7">
        <f>'Información completa'!H143</f>
        <v>40681</v>
      </c>
      <c r="H214" s="7">
        <f>'Información completa'!I143</f>
        <v>31385</v>
      </c>
      <c r="I214" s="7">
        <f>'Información completa'!J143</f>
        <v>30436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8"/>
    </row>
    <row r="215" spans="2:37" x14ac:dyDescent="0.3">
      <c r="B215" s="5"/>
      <c r="C215" s="9" t="s">
        <v>45</v>
      </c>
      <c r="D215" s="9" t="s">
        <v>1</v>
      </c>
      <c r="E215" s="9" t="s">
        <v>2</v>
      </c>
      <c r="F215" s="9" t="s">
        <v>3</v>
      </c>
      <c r="G215" s="9" t="s">
        <v>4</v>
      </c>
      <c r="H215" s="9" t="s">
        <v>5</v>
      </c>
      <c r="I215" s="9" t="s">
        <v>6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8"/>
    </row>
    <row r="216" spans="2:37" x14ac:dyDescent="0.3">
      <c r="B216" s="5"/>
      <c r="C216" s="7" t="s">
        <v>51</v>
      </c>
      <c r="D216" s="7">
        <v>1</v>
      </c>
      <c r="E216" s="7">
        <f>$D217/E217</f>
        <v>2.9545990004156488</v>
      </c>
      <c r="F216" s="7">
        <f t="shared" ref="F216" si="44">$D217/F217</f>
        <v>5.3244727495944231</v>
      </c>
      <c r="G216" s="7">
        <f t="shared" ref="G216" si="45">$D217/G217</f>
        <v>9.3115075688351858</v>
      </c>
      <c r="H216" s="7">
        <f t="shared" ref="H216" si="46">$D217/H217</f>
        <v>10.69835548050804</v>
      </c>
      <c r="I216" s="7">
        <f>$D217/I217</f>
        <v>15.366525714165199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8"/>
    </row>
    <row r="217" spans="2:37" x14ac:dyDescent="0.3">
      <c r="B217" s="5"/>
      <c r="C217" s="7" t="s">
        <v>47</v>
      </c>
      <c r="D217" s="7">
        <f>'Información completa'!M143</f>
        <v>1457223</v>
      </c>
      <c r="E217" s="7">
        <f>'Información completa'!N143</f>
        <v>493205</v>
      </c>
      <c r="F217" s="7">
        <f>'Información completa'!O143</f>
        <v>273684</v>
      </c>
      <c r="G217" s="7">
        <f>'Información completa'!P143</f>
        <v>156497</v>
      </c>
      <c r="H217" s="7">
        <f>'Información completa'!Q143</f>
        <v>136210</v>
      </c>
      <c r="I217" s="7">
        <f>'Información completa'!R143</f>
        <v>94831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8"/>
    </row>
    <row r="218" spans="2:37" x14ac:dyDescent="0.3">
      <c r="B218" s="5"/>
      <c r="C218" s="9" t="s">
        <v>45</v>
      </c>
      <c r="D218" s="9" t="s">
        <v>1</v>
      </c>
      <c r="E218" s="9" t="s">
        <v>2</v>
      </c>
      <c r="F218" s="9" t="s">
        <v>3</v>
      </c>
      <c r="G218" s="9" t="s">
        <v>4</v>
      </c>
      <c r="H218" s="9" t="s">
        <v>5</v>
      </c>
      <c r="I218" s="9" t="s">
        <v>6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8"/>
    </row>
    <row r="219" spans="2:37" x14ac:dyDescent="0.3">
      <c r="B219" s="5"/>
      <c r="C219" s="7" t="s">
        <v>52</v>
      </c>
      <c r="D219" s="7">
        <v>1</v>
      </c>
      <c r="E219" s="7">
        <f>$D220/E220</f>
        <v>1.6924345227293531</v>
      </c>
      <c r="F219" s="7">
        <f t="shared" ref="F219" si="47">$D220/F220</f>
        <v>3.3228755330164348</v>
      </c>
      <c r="G219" s="7">
        <f t="shared" ref="G219" si="48">$D220/G220</f>
        <v>4.8462127420062409</v>
      </c>
      <c r="H219" s="7">
        <f t="shared" ref="H219" si="49">$D220/H220</f>
        <v>6.3990439145947233</v>
      </c>
      <c r="I219" s="7">
        <f>$D220/I220</f>
        <v>3.3431405235527687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8"/>
    </row>
    <row r="220" spans="2:37" x14ac:dyDescent="0.3">
      <c r="B220" s="5"/>
      <c r="C220" s="7" t="s">
        <v>48</v>
      </c>
      <c r="D220" s="7">
        <f>'Información completa'!U143</f>
        <v>10538739</v>
      </c>
      <c r="E220" s="7">
        <f>'Información completa'!V143</f>
        <v>6226970</v>
      </c>
      <c r="F220" s="7">
        <f>'Información completa'!W143</f>
        <v>3171572</v>
      </c>
      <c r="G220" s="7">
        <f>'Información completa'!X143</f>
        <v>2174634</v>
      </c>
      <c r="H220" s="7">
        <f>'Información completa'!Y143</f>
        <v>1646924</v>
      </c>
      <c r="I220" s="7">
        <f>'Información completa'!Z143</f>
        <v>3152347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8"/>
    </row>
    <row r="221" spans="2:37" x14ac:dyDescent="0.3">
      <c r="B221" s="5"/>
      <c r="C221" s="9" t="s">
        <v>45</v>
      </c>
      <c r="D221" s="9" t="s">
        <v>1</v>
      </c>
      <c r="E221" s="9" t="s">
        <v>2</v>
      </c>
      <c r="F221" s="9" t="s">
        <v>3</v>
      </c>
      <c r="G221" s="9" t="s">
        <v>4</v>
      </c>
      <c r="H221" s="9" t="s">
        <v>5</v>
      </c>
      <c r="I221" s="9" t="s">
        <v>6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8"/>
    </row>
    <row r="222" spans="2:37" x14ac:dyDescent="0.3">
      <c r="B222" s="5"/>
      <c r="C222" s="7" t="s">
        <v>53</v>
      </c>
      <c r="D222" s="7">
        <v>1</v>
      </c>
      <c r="E222" s="7">
        <f>$D223/E223</f>
        <v>1.6523406666122986</v>
      </c>
      <c r="F222" s="7">
        <f t="shared" ref="F222" si="50">$D223/F223</f>
        <v>3.2073716091843321</v>
      </c>
      <c r="G222" s="7">
        <f t="shared" ref="G222" si="51">$D223/G223</f>
        <v>4.0529383197600239</v>
      </c>
      <c r="H222" s="7">
        <f t="shared" ref="H222" si="52">$D223/H223</f>
        <v>5.0790999829171284</v>
      </c>
      <c r="I222" s="7">
        <f>$D223/I223</f>
        <v>2.882797267059384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8"/>
    </row>
    <row r="223" spans="2:37" x14ac:dyDescent="0.3">
      <c r="B223" s="5"/>
      <c r="C223" s="7" t="s">
        <v>49</v>
      </c>
      <c r="D223" s="7">
        <f>'Información completa'!AC143</f>
        <v>84022972</v>
      </c>
      <c r="E223" s="7">
        <f>'Información completa'!AD143</f>
        <v>50850877</v>
      </c>
      <c r="F223" s="7">
        <f>'Información completa'!AE143</f>
        <v>26196831</v>
      </c>
      <c r="G223" s="7">
        <f>'Información completa'!AF143</f>
        <v>20731372</v>
      </c>
      <c r="H223" s="7">
        <f>'Información completa'!AG143</f>
        <v>16542886</v>
      </c>
      <c r="I223" s="7">
        <f>'Información completa'!AH143</f>
        <v>29146334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8"/>
    </row>
    <row r="224" spans="2:37" x14ac:dyDescent="0.3">
      <c r="B224" s="5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8"/>
    </row>
    <row r="225" spans="2:37" x14ac:dyDescent="0.3">
      <c r="B225" s="5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8"/>
    </row>
    <row r="226" spans="2:37" x14ac:dyDescent="0.3">
      <c r="B226" s="5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8"/>
    </row>
    <row r="227" spans="2:37" x14ac:dyDescent="0.3">
      <c r="B227" s="5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8"/>
    </row>
    <row r="228" spans="2:37" x14ac:dyDescent="0.3">
      <c r="B228" s="5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8"/>
    </row>
    <row r="229" spans="2:37" x14ac:dyDescent="0.3">
      <c r="B229" s="5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8"/>
    </row>
    <row r="230" spans="2:37" x14ac:dyDescent="0.3">
      <c r="B230" s="5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8"/>
    </row>
    <row r="231" spans="2:37" x14ac:dyDescent="0.3">
      <c r="B231" s="5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8"/>
    </row>
    <row r="232" spans="2:37" x14ac:dyDescent="0.3">
      <c r="B232" s="5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8"/>
    </row>
    <row r="233" spans="2:37" x14ac:dyDescent="0.3">
      <c r="B233" s="5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8"/>
    </row>
    <row r="234" spans="2:37" x14ac:dyDescent="0.3">
      <c r="B234" s="5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8"/>
    </row>
    <row r="235" spans="2:37" x14ac:dyDescent="0.3">
      <c r="B235" s="5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8"/>
    </row>
    <row r="236" spans="2:37" x14ac:dyDescent="0.3">
      <c r="B236" s="5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8"/>
    </row>
    <row r="237" spans="2:37" x14ac:dyDescent="0.3">
      <c r="B237" s="5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8"/>
    </row>
    <row r="238" spans="2:37" x14ac:dyDescent="0.3">
      <c r="B238" s="5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8"/>
    </row>
    <row r="239" spans="2:37" x14ac:dyDescent="0.3">
      <c r="B239" s="5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8"/>
    </row>
    <row r="240" spans="2:37" x14ac:dyDescent="0.3">
      <c r="B240" s="5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8"/>
    </row>
    <row r="241" spans="2:37" x14ac:dyDescent="0.3">
      <c r="B241" s="5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8"/>
    </row>
    <row r="242" spans="2:37" x14ac:dyDescent="0.3">
      <c r="B242" s="5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8"/>
    </row>
    <row r="243" spans="2:37" x14ac:dyDescent="0.3">
      <c r="B243" s="5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8"/>
    </row>
    <row r="244" spans="2:37" x14ac:dyDescent="0.3">
      <c r="B244" s="5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8"/>
    </row>
    <row r="245" spans="2:37" x14ac:dyDescent="0.3">
      <c r="B245" s="5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8"/>
    </row>
    <row r="246" spans="2:37" x14ac:dyDescent="0.3">
      <c r="B246" s="5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8"/>
    </row>
    <row r="247" spans="2:37" x14ac:dyDescent="0.3">
      <c r="B247" s="5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8"/>
    </row>
    <row r="248" spans="2:37" x14ac:dyDescent="0.3">
      <c r="B248" s="5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8"/>
    </row>
    <row r="249" spans="2:37" x14ac:dyDescent="0.3">
      <c r="B249" s="5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8"/>
    </row>
    <row r="250" spans="2:37" x14ac:dyDescent="0.3">
      <c r="B250" s="5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8"/>
    </row>
    <row r="251" spans="2:37" x14ac:dyDescent="0.3">
      <c r="B251" s="5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8"/>
    </row>
    <row r="252" spans="2:37" x14ac:dyDescent="0.3">
      <c r="B252" s="5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8"/>
    </row>
    <row r="253" spans="2:37" x14ac:dyDescent="0.3">
      <c r="B253" s="5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8"/>
    </row>
    <row r="254" spans="2:37" x14ac:dyDescent="0.3">
      <c r="B254" s="5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8"/>
    </row>
    <row r="255" spans="2:37" x14ac:dyDescent="0.3">
      <c r="B255" s="5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8"/>
    </row>
    <row r="256" spans="2:37" x14ac:dyDescent="0.3">
      <c r="B256" s="5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8"/>
    </row>
    <row r="257" spans="2:37" x14ac:dyDescent="0.3">
      <c r="B257" s="5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8"/>
    </row>
    <row r="258" spans="2:37" x14ac:dyDescent="0.3">
      <c r="B258" s="5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8"/>
    </row>
    <row r="259" spans="2:37" x14ac:dyDescent="0.3">
      <c r="B259" s="5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8"/>
    </row>
    <row r="260" spans="2:37" x14ac:dyDescent="0.3">
      <c r="B260" s="5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8"/>
    </row>
    <row r="261" spans="2:37" x14ac:dyDescent="0.3">
      <c r="B261" s="5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8"/>
    </row>
    <row r="262" spans="2:37" x14ac:dyDescent="0.3">
      <c r="B262" s="5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8"/>
    </row>
    <row r="263" spans="2:37" x14ac:dyDescent="0.3">
      <c r="B263" s="5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8"/>
    </row>
    <row r="264" spans="2:37" x14ac:dyDescent="0.3">
      <c r="B264" s="5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8"/>
    </row>
    <row r="265" spans="2:37" x14ac:dyDescent="0.3">
      <c r="B265" s="5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8"/>
    </row>
    <row r="266" spans="2:37" x14ac:dyDescent="0.3">
      <c r="B266" s="5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8"/>
    </row>
    <row r="267" spans="2:37" x14ac:dyDescent="0.3">
      <c r="B267" s="5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8"/>
    </row>
    <row r="268" spans="2:37" x14ac:dyDescent="0.3">
      <c r="B268" s="5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8"/>
    </row>
    <row r="269" spans="2:37" x14ac:dyDescent="0.3">
      <c r="B269" s="5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8"/>
    </row>
    <row r="270" spans="2:37" x14ac:dyDescent="0.3">
      <c r="B270" s="5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8"/>
    </row>
    <row r="271" spans="2:37" x14ac:dyDescent="0.3">
      <c r="B271" s="5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8"/>
    </row>
    <row r="272" spans="2:37" x14ac:dyDescent="0.3">
      <c r="B272" s="5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8"/>
    </row>
    <row r="273" spans="2:37" x14ac:dyDescent="0.3">
      <c r="B273" s="5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8"/>
    </row>
    <row r="274" spans="2:37" ht="28.95" customHeight="1" thickBot="1" x14ac:dyDescent="0.35">
      <c r="B274" s="10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2"/>
    </row>
  </sheetData>
  <mergeCells count="8">
    <mergeCell ref="K212:L212"/>
    <mergeCell ref="K213:L213"/>
    <mergeCell ref="K8:L8"/>
    <mergeCell ref="K9:L9"/>
    <mergeCell ref="K76:L76"/>
    <mergeCell ref="K77:L77"/>
    <mergeCell ref="K144:L144"/>
    <mergeCell ref="K145:L14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6CEE-D70F-4769-AFEA-1E86F20829F9}">
  <dimension ref="B2:O151"/>
  <sheetViews>
    <sheetView tabSelected="1" topLeftCell="A10" zoomScale="70" zoomScaleNormal="70" workbookViewId="0">
      <selection activeCell="J115" sqref="J115"/>
    </sheetView>
  </sheetViews>
  <sheetFormatPr baseColWidth="10" defaultRowHeight="14.4" x14ac:dyDescent="0.3"/>
  <cols>
    <col min="1" max="1" width="10.88671875" customWidth="1"/>
    <col min="2" max="2" width="2.77734375" customWidth="1"/>
    <col min="3" max="3" width="19.88671875" customWidth="1"/>
    <col min="4" max="4" width="21.77734375" customWidth="1"/>
    <col min="15" max="15" width="2.77734375" customWidth="1"/>
  </cols>
  <sheetData>
    <row r="2" spans="2:15" ht="15" thickBot="1" x14ac:dyDescent="0.35"/>
    <row r="3" spans="2:15" x14ac:dyDescent="0.3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pans="2:15" ht="36.6" x14ac:dyDescent="0.7">
      <c r="B4" s="5"/>
      <c r="C4" s="7"/>
      <c r="D4" s="6" t="s">
        <v>55</v>
      </c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spans="2:15" x14ac:dyDescent="0.3">
      <c r="B5" s="5"/>
      <c r="C5" s="13"/>
      <c r="D5" s="9" t="str" cm="1">
        <f t="array" ref="D5:J5">'Gráficas SpeedUp'!C8:I8</f>
        <v># Hilos</v>
      </c>
      <c r="E5" s="9" t="str">
        <v>1 hilo</v>
      </c>
      <c r="F5" s="9" t="str">
        <v>2 hilos</v>
      </c>
      <c r="G5" s="9" t="str">
        <v>4 hilos</v>
      </c>
      <c r="H5" s="9" t="str">
        <v>8 hilos</v>
      </c>
      <c r="I5" s="9" t="str">
        <v>12 hilos</v>
      </c>
      <c r="J5" s="9" t="str">
        <v>32 hilos</v>
      </c>
      <c r="K5" s="7"/>
      <c r="L5" s="7"/>
      <c r="M5" s="7"/>
      <c r="N5" s="7"/>
      <c r="O5" s="8"/>
    </row>
    <row r="6" spans="2:15" ht="14.55" customHeight="1" x14ac:dyDescent="0.3">
      <c r="B6" s="5"/>
      <c r="C6" s="49" t="s">
        <v>60</v>
      </c>
      <c r="D6" s="14" t="s">
        <v>59</v>
      </c>
      <c r="E6" s="7" cm="1">
        <f t="array" ref="E6:J6">'Gráficas SpeedUp'!D10:I10</f>
        <v>758983</v>
      </c>
      <c r="F6" s="7">
        <v>351291</v>
      </c>
      <c r="G6" s="7">
        <v>176887</v>
      </c>
      <c r="H6" s="7">
        <v>141606</v>
      </c>
      <c r="I6" s="7">
        <v>106523</v>
      </c>
      <c r="J6" s="7">
        <v>114432</v>
      </c>
      <c r="K6" s="7"/>
      <c r="L6" s="7"/>
      <c r="M6" s="7"/>
      <c r="N6" s="7"/>
      <c r="O6" s="8"/>
    </row>
    <row r="7" spans="2:15" x14ac:dyDescent="0.3">
      <c r="B7" s="5"/>
      <c r="C7" s="49"/>
      <c r="D7" s="14" t="s">
        <v>56</v>
      </c>
      <c r="E7" s="7" cm="1">
        <f t="array" ref="E7:J7">'Gráficas SpeedUp'!D78:I78</f>
        <v>220707</v>
      </c>
      <c r="F7" s="7">
        <v>99903</v>
      </c>
      <c r="G7" s="7">
        <v>52417</v>
      </c>
      <c r="H7" s="7">
        <v>56827</v>
      </c>
      <c r="I7" s="7">
        <v>50652</v>
      </c>
      <c r="J7" s="7">
        <v>57061</v>
      </c>
      <c r="K7" s="7"/>
      <c r="L7" s="7"/>
      <c r="M7" s="7"/>
      <c r="N7" s="7"/>
      <c r="O7" s="8"/>
    </row>
    <row r="8" spans="2:15" x14ac:dyDescent="0.3">
      <c r="B8" s="5"/>
      <c r="C8" s="49"/>
      <c r="D8" s="14" t="s">
        <v>57</v>
      </c>
      <c r="E8" s="7" cm="1">
        <f t="array" ref="E8:J8">'Gráficas SpeedUp'!D146:I146</f>
        <v>753171</v>
      </c>
      <c r="F8" s="7">
        <v>349797</v>
      </c>
      <c r="G8" s="7">
        <v>176261</v>
      </c>
      <c r="H8" s="7">
        <v>138827</v>
      </c>
      <c r="I8" s="7">
        <v>107008</v>
      </c>
      <c r="J8" s="7">
        <v>105032</v>
      </c>
      <c r="K8" s="7"/>
      <c r="L8" s="7"/>
      <c r="M8" s="7"/>
      <c r="N8" s="7"/>
      <c r="O8" s="8"/>
    </row>
    <row r="9" spans="2:15" x14ac:dyDescent="0.3">
      <c r="B9" s="5"/>
      <c r="C9" s="49"/>
      <c r="D9" s="14" t="s">
        <v>58</v>
      </c>
      <c r="E9" s="7" cm="1">
        <f t="array" ref="E9:J9">'Gráficas SpeedUp'!D214:I214</f>
        <v>172153</v>
      </c>
      <c r="F9" s="7">
        <v>79444</v>
      </c>
      <c r="G9" s="7">
        <v>40575</v>
      </c>
      <c r="H9" s="7">
        <v>40681</v>
      </c>
      <c r="I9" s="7">
        <v>31385</v>
      </c>
      <c r="J9" s="7">
        <v>30436</v>
      </c>
      <c r="K9" s="7"/>
      <c r="L9" s="7"/>
      <c r="M9" s="7"/>
      <c r="N9" s="7"/>
      <c r="O9" s="8"/>
    </row>
    <row r="10" spans="2:15" x14ac:dyDescent="0.3">
      <c r="B10" s="5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</row>
    <row r="11" spans="2:15" x14ac:dyDescent="0.3"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/>
    </row>
    <row r="12" spans="2:15" x14ac:dyDescent="0.3">
      <c r="B12" s="5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</row>
    <row r="13" spans="2:15" x14ac:dyDescent="0.3">
      <c r="B13" s="5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</row>
    <row r="14" spans="2:15" x14ac:dyDescent="0.3">
      <c r="B14" s="5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</row>
    <row r="15" spans="2:15" x14ac:dyDescent="0.3">
      <c r="B15" s="5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</row>
    <row r="16" spans="2:15" x14ac:dyDescent="0.3">
      <c r="B16" s="5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/>
    </row>
    <row r="17" spans="2:15" x14ac:dyDescent="0.3">
      <c r="B17" s="5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</row>
    <row r="18" spans="2:15" x14ac:dyDescent="0.3">
      <c r="B18" s="5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</row>
    <row r="19" spans="2:15" x14ac:dyDescent="0.3">
      <c r="B19" s="5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</row>
    <row r="20" spans="2:15" x14ac:dyDescent="0.3">
      <c r="B20" s="5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</row>
    <row r="21" spans="2:15" x14ac:dyDescent="0.3">
      <c r="B21" s="5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/>
    </row>
    <row r="22" spans="2:15" x14ac:dyDescent="0.3">
      <c r="B22" s="5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8"/>
    </row>
    <row r="23" spans="2:15" x14ac:dyDescent="0.3">
      <c r="B23" s="5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8"/>
    </row>
    <row r="24" spans="2:15" x14ac:dyDescent="0.3">
      <c r="B24" s="5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/>
    </row>
    <row r="25" spans="2:15" x14ac:dyDescent="0.3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/>
    </row>
    <row r="26" spans="2:15" x14ac:dyDescent="0.3">
      <c r="B26" s="5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/>
    </row>
    <row r="27" spans="2:15" x14ac:dyDescent="0.3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/>
    </row>
    <row r="28" spans="2:15" x14ac:dyDescent="0.3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</row>
    <row r="29" spans="2:15" x14ac:dyDescent="0.3">
      <c r="B29" s="5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</row>
    <row r="30" spans="2:15" x14ac:dyDescent="0.3">
      <c r="B30" s="5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/>
    </row>
    <row r="31" spans="2:15" x14ac:dyDescent="0.3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/>
    </row>
    <row r="32" spans="2:15" x14ac:dyDescent="0.3">
      <c r="B32" s="5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/>
    </row>
    <row r="33" spans="2:15" x14ac:dyDescent="0.3">
      <c r="B33" s="5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8"/>
    </row>
    <row r="34" spans="2:15" x14ac:dyDescent="0.3">
      <c r="B34" s="5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/>
    </row>
    <row r="35" spans="2:15" x14ac:dyDescent="0.3">
      <c r="B35" s="5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/>
    </row>
    <row r="36" spans="2:15" x14ac:dyDescent="0.3">
      <c r="B36" s="5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/>
    </row>
    <row r="37" spans="2:15" ht="15" thickBot="1" x14ac:dyDescent="0.35"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2"/>
    </row>
    <row r="40" spans="2:15" ht="15" thickBot="1" x14ac:dyDescent="0.35"/>
    <row r="41" spans="2:15" x14ac:dyDescent="0.3"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4"/>
    </row>
    <row r="42" spans="2:15" ht="36.6" x14ac:dyDescent="0.7">
      <c r="B42" s="5"/>
      <c r="C42" s="7"/>
      <c r="D42" s="6" t="s">
        <v>61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8"/>
    </row>
    <row r="43" spans="2:15" x14ac:dyDescent="0.3">
      <c r="B43" s="5"/>
      <c r="C43" s="13"/>
      <c r="D43" s="9" t="str" cm="1">
        <f t="array" ref="D43:J43">'Gráficas SpeedUp'!C76:I76</f>
        <v># Hilos</v>
      </c>
      <c r="E43" s="9" t="str">
        <v>1 hilo</v>
      </c>
      <c r="F43" s="9" t="str">
        <v>2 hilos</v>
      </c>
      <c r="G43" s="9" t="str">
        <v>4 hilos</v>
      </c>
      <c r="H43" s="9" t="str">
        <v>8 hilos</v>
      </c>
      <c r="I43" s="9" t="str">
        <v>12 hilos</v>
      </c>
      <c r="J43" s="9" t="str">
        <v>32 hilos</v>
      </c>
      <c r="K43" s="7"/>
      <c r="L43" s="7"/>
      <c r="M43" s="7"/>
      <c r="N43" s="7"/>
      <c r="O43" s="8"/>
    </row>
    <row r="44" spans="2:15" ht="14.55" customHeight="1" x14ac:dyDescent="0.3">
      <c r="B44" s="5"/>
      <c r="C44" s="49" t="s">
        <v>60</v>
      </c>
      <c r="D44" s="14" t="s">
        <v>59</v>
      </c>
      <c r="E44" s="7" cm="1">
        <f t="array" ref="E44:J44">'Gráficas SpeedUp'!D13:I13</f>
        <v>7027661</v>
      </c>
      <c r="F44" s="7">
        <v>2322559</v>
      </c>
      <c r="G44" s="7">
        <v>1427209</v>
      </c>
      <c r="H44" s="7">
        <v>803901</v>
      </c>
      <c r="I44" s="7">
        <v>644844</v>
      </c>
      <c r="J44" s="7">
        <v>576577</v>
      </c>
      <c r="K44" s="7"/>
      <c r="L44" s="7"/>
      <c r="M44" s="7"/>
      <c r="N44" s="7"/>
      <c r="O44" s="8"/>
    </row>
    <row r="45" spans="2:15" x14ac:dyDescent="0.3">
      <c r="B45" s="5"/>
      <c r="C45" s="49"/>
      <c r="D45" s="14" t="s">
        <v>56</v>
      </c>
      <c r="E45" s="7" cm="1">
        <f t="array" ref="E45:J45">'Gráficas SpeedUp'!D81:I81</f>
        <v>3128690</v>
      </c>
      <c r="F45" s="7">
        <v>954752</v>
      </c>
      <c r="G45" s="7">
        <v>581796</v>
      </c>
      <c r="H45" s="7">
        <v>375191</v>
      </c>
      <c r="I45" s="7">
        <v>412981</v>
      </c>
      <c r="J45" s="7">
        <v>403924</v>
      </c>
      <c r="K45" s="7"/>
      <c r="L45" s="7"/>
      <c r="M45" s="7"/>
      <c r="N45" s="7"/>
      <c r="O45" s="8"/>
    </row>
    <row r="46" spans="2:15" x14ac:dyDescent="0.3">
      <c r="B46" s="5"/>
      <c r="C46" s="49"/>
      <c r="D46" s="14" t="s">
        <v>57</v>
      </c>
      <c r="E46" s="7" cm="1">
        <f t="array" ref="E46:J46">'Gráficas SpeedUp'!D149:I149</f>
        <v>6987175</v>
      </c>
      <c r="F46" s="7">
        <v>2320326</v>
      </c>
      <c r="G46" s="7">
        <v>1369588</v>
      </c>
      <c r="H46" s="7">
        <v>801438</v>
      </c>
      <c r="I46" s="7">
        <v>630721</v>
      </c>
      <c r="J46" s="7">
        <v>540053</v>
      </c>
      <c r="K46" s="7"/>
      <c r="L46" s="7"/>
      <c r="M46" s="7"/>
      <c r="N46" s="7"/>
      <c r="O46" s="8"/>
    </row>
    <row r="47" spans="2:15" x14ac:dyDescent="0.3">
      <c r="B47" s="5"/>
      <c r="C47" s="49"/>
      <c r="D47" s="14" t="s">
        <v>58</v>
      </c>
      <c r="E47" s="7" cm="1">
        <f t="array" ref="E47:J47">'Gráficas SpeedUp'!D217:I217</f>
        <v>1457223</v>
      </c>
      <c r="F47" s="7">
        <v>493205</v>
      </c>
      <c r="G47" s="7">
        <v>273684</v>
      </c>
      <c r="H47" s="7">
        <v>156497</v>
      </c>
      <c r="I47" s="7">
        <v>136210</v>
      </c>
      <c r="J47" s="7">
        <v>94831</v>
      </c>
      <c r="K47" s="7"/>
      <c r="L47" s="7"/>
      <c r="M47" s="7"/>
      <c r="N47" s="7"/>
      <c r="O47" s="8"/>
    </row>
    <row r="48" spans="2:15" x14ac:dyDescent="0.3">
      <c r="B48" s="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8"/>
    </row>
    <row r="49" spans="2:15" x14ac:dyDescent="0.3">
      <c r="B49" s="5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8"/>
    </row>
    <row r="50" spans="2:15" x14ac:dyDescent="0.3">
      <c r="B50" s="5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8"/>
    </row>
    <row r="51" spans="2:15" x14ac:dyDescent="0.3">
      <c r="B51" s="5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8"/>
    </row>
    <row r="52" spans="2:15" x14ac:dyDescent="0.3">
      <c r="B52" s="5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8"/>
    </row>
    <row r="53" spans="2:15" x14ac:dyDescent="0.3">
      <c r="B53" s="5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8"/>
    </row>
    <row r="54" spans="2:15" x14ac:dyDescent="0.3">
      <c r="B54" s="5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8"/>
    </row>
    <row r="55" spans="2:15" x14ac:dyDescent="0.3">
      <c r="B55" s="5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8"/>
    </row>
    <row r="56" spans="2:15" x14ac:dyDescent="0.3">
      <c r="B56" s="5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8"/>
    </row>
    <row r="57" spans="2:15" x14ac:dyDescent="0.3">
      <c r="B57" s="5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8"/>
    </row>
    <row r="58" spans="2:15" x14ac:dyDescent="0.3">
      <c r="B58" s="5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8"/>
    </row>
    <row r="59" spans="2:15" x14ac:dyDescent="0.3">
      <c r="B59" s="5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8"/>
    </row>
    <row r="60" spans="2:15" x14ac:dyDescent="0.3">
      <c r="B60" s="5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8"/>
    </row>
    <row r="61" spans="2:15" x14ac:dyDescent="0.3">
      <c r="B61" s="5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8"/>
    </row>
    <row r="62" spans="2:15" x14ac:dyDescent="0.3">
      <c r="B62" s="5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8"/>
    </row>
    <row r="63" spans="2:15" x14ac:dyDescent="0.3">
      <c r="B63" s="5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8"/>
    </row>
    <row r="64" spans="2:15" x14ac:dyDescent="0.3">
      <c r="B64" s="5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8"/>
    </row>
    <row r="65" spans="2:15" x14ac:dyDescent="0.3">
      <c r="B65" s="5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8"/>
    </row>
    <row r="66" spans="2:15" x14ac:dyDescent="0.3">
      <c r="B66" s="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8"/>
    </row>
    <row r="67" spans="2:15" x14ac:dyDescent="0.3">
      <c r="B67" s="5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8"/>
    </row>
    <row r="68" spans="2:15" x14ac:dyDescent="0.3">
      <c r="B68" s="5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8"/>
    </row>
    <row r="69" spans="2:15" x14ac:dyDescent="0.3">
      <c r="B69" s="5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8"/>
    </row>
    <row r="70" spans="2:15" x14ac:dyDescent="0.3">
      <c r="B70" s="5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8"/>
    </row>
    <row r="71" spans="2:15" x14ac:dyDescent="0.3">
      <c r="B71" s="5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8"/>
    </row>
    <row r="72" spans="2:15" x14ac:dyDescent="0.3">
      <c r="B72" s="5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8"/>
    </row>
    <row r="73" spans="2:15" x14ac:dyDescent="0.3">
      <c r="B73" s="5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8"/>
    </row>
    <row r="74" spans="2:15" x14ac:dyDescent="0.3">
      <c r="B74" s="5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8"/>
    </row>
    <row r="75" spans="2:15" ht="15" thickBot="1" x14ac:dyDescent="0.35">
      <c r="B75" s="10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2"/>
    </row>
    <row r="78" spans="2:15" ht="15" thickBot="1" x14ac:dyDescent="0.35"/>
    <row r="79" spans="2:15" x14ac:dyDescent="0.3"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4"/>
    </row>
    <row r="80" spans="2:15" ht="36.6" x14ac:dyDescent="0.7">
      <c r="B80" s="5"/>
      <c r="C80" s="7"/>
      <c r="D80" s="6" t="s">
        <v>62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8"/>
    </row>
    <row r="81" spans="2:15" x14ac:dyDescent="0.3">
      <c r="B81" s="5"/>
      <c r="C81" s="13"/>
      <c r="D81" s="9" t="str" cm="1">
        <f t="array" ref="D81:J81">'Gráficas SpeedUp'!C144:I144</f>
        <v># Hilos</v>
      </c>
      <c r="E81" s="9" t="str">
        <v>1 hilo</v>
      </c>
      <c r="F81" s="9" t="str">
        <v>2 hilos</v>
      </c>
      <c r="G81" s="9" t="str">
        <v>4 hilos</v>
      </c>
      <c r="H81" s="9" t="str">
        <v>8 hilos</v>
      </c>
      <c r="I81" s="9" t="str">
        <v>12 hilos</v>
      </c>
      <c r="J81" s="9" t="str">
        <v>32 hilos</v>
      </c>
      <c r="K81" s="7"/>
      <c r="L81" s="7"/>
      <c r="M81" s="7"/>
      <c r="N81" s="7"/>
      <c r="O81" s="8"/>
    </row>
    <row r="82" spans="2:15" x14ac:dyDescent="0.3">
      <c r="B82" s="5"/>
      <c r="C82" s="49" t="s">
        <v>60</v>
      </c>
      <c r="D82" s="14" t="s">
        <v>59</v>
      </c>
      <c r="E82" s="7" cm="1">
        <f t="array" ref="E82:J82">'Gráficas SpeedUp'!D16:I16</f>
        <v>79065283</v>
      </c>
      <c r="F82" s="7">
        <v>29844424</v>
      </c>
      <c r="G82" s="7">
        <v>17950647</v>
      </c>
      <c r="H82" s="7">
        <v>18655884</v>
      </c>
      <c r="I82" s="7">
        <v>18060565</v>
      </c>
      <c r="J82" s="7">
        <v>20015822</v>
      </c>
      <c r="K82" s="7"/>
      <c r="L82" s="7"/>
      <c r="M82" s="7"/>
      <c r="N82" s="7"/>
      <c r="O82" s="8"/>
    </row>
    <row r="83" spans="2:15" x14ac:dyDescent="0.3">
      <c r="B83" s="5"/>
      <c r="C83" s="49"/>
      <c r="D83" s="14" t="s">
        <v>56</v>
      </c>
      <c r="E83" s="7" cm="1">
        <f t="array" ref="E83:J83">'Gráficas SpeedUp'!D84:I84</f>
        <v>79012453</v>
      </c>
      <c r="F83" s="7">
        <v>36413847</v>
      </c>
      <c r="G83" s="7">
        <v>20144878</v>
      </c>
      <c r="H83" s="7">
        <v>19217030</v>
      </c>
      <c r="I83" s="7">
        <v>18028655</v>
      </c>
      <c r="J83" s="7">
        <v>19626614</v>
      </c>
      <c r="K83" s="7"/>
      <c r="L83" s="7"/>
      <c r="M83" s="7"/>
      <c r="N83" s="7"/>
      <c r="O83" s="8"/>
    </row>
    <row r="84" spans="2:15" x14ac:dyDescent="0.3">
      <c r="B84" s="5"/>
      <c r="C84" s="49"/>
      <c r="D84" s="14" t="s">
        <v>57</v>
      </c>
      <c r="E84" s="7" cm="1">
        <f t="array" ref="E84:J84">'Gráficas SpeedUp'!D152:I152</f>
        <v>78974150</v>
      </c>
      <c r="F84" s="7">
        <v>29753177</v>
      </c>
      <c r="G84" s="7">
        <v>18013864</v>
      </c>
      <c r="H84" s="7">
        <v>17851352</v>
      </c>
      <c r="I84" s="7">
        <v>17436182</v>
      </c>
      <c r="J84" s="7">
        <v>17893752</v>
      </c>
      <c r="K84" s="7"/>
      <c r="L84" s="7"/>
      <c r="M84" s="7"/>
      <c r="N84" s="7"/>
      <c r="O84" s="8"/>
    </row>
    <row r="85" spans="2:15" x14ac:dyDescent="0.3">
      <c r="B85" s="5"/>
      <c r="C85" s="49"/>
      <c r="D85" s="14" t="s">
        <v>58</v>
      </c>
      <c r="E85" s="7" cm="1">
        <f t="array" ref="E85:J85">'Gráficas SpeedUp'!D220:I220</f>
        <v>10538739</v>
      </c>
      <c r="F85" s="7">
        <v>6226970</v>
      </c>
      <c r="G85" s="7">
        <v>3171572</v>
      </c>
      <c r="H85" s="7">
        <v>2174634</v>
      </c>
      <c r="I85" s="7">
        <v>1646924</v>
      </c>
      <c r="J85" s="7">
        <v>3152347</v>
      </c>
      <c r="K85" s="7"/>
      <c r="L85" s="7"/>
      <c r="M85" s="7"/>
      <c r="N85" s="7"/>
      <c r="O85" s="8"/>
    </row>
    <row r="86" spans="2:15" x14ac:dyDescent="0.3">
      <c r="B86" s="5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8"/>
    </row>
    <row r="87" spans="2:15" x14ac:dyDescent="0.3">
      <c r="B87" s="5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8"/>
    </row>
    <row r="88" spans="2:15" x14ac:dyDescent="0.3">
      <c r="B88" s="5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8"/>
    </row>
    <row r="89" spans="2:15" x14ac:dyDescent="0.3">
      <c r="B89" s="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8"/>
    </row>
    <row r="90" spans="2:15" x14ac:dyDescent="0.3">
      <c r="B90" s="5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8"/>
    </row>
    <row r="91" spans="2:15" x14ac:dyDescent="0.3">
      <c r="B91" s="5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8"/>
    </row>
    <row r="92" spans="2:15" x14ac:dyDescent="0.3">
      <c r="B92" s="5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8"/>
    </row>
    <row r="93" spans="2:15" x14ac:dyDescent="0.3">
      <c r="B93" s="5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8"/>
    </row>
    <row r="94" spans="2:15" x14ac:dyDescent="0.3">
      <c r="B94" s="5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8"/>
    </row>
    <row r="95" spans="2:15" x14ac:dyDescent="0.3">
      <c r="B95" s="5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8"/>
    </row>
    <row r="96" spans="2:15" x14ac:dyDescent="0.3">
      <c r="B96" s="5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8"/>
    </row>
    <row r="97" spans="2:15" x14ac:dyDescent="0.3">
      <c r="B97" s="5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8"/>
    </row>
    <row r="98" spans="2:15" x14ac:dyDescent="0.3">
      <c r="B98" s="5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8"/>
    </row>
    <row r="99" spans="2:15" x14ac:dyDescent="0.3">
      <c r="B99" s="5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8"/>
    </row>
    <row r="100" spans="2:15" x14ac:dyDescent="0.3">
      <c r="B100" s="5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8"/>
    </row>
    <row r="101" spans="2:15" x14ac:dyDescent="0.3">
      <c r="B101" s="5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8"/>
    </row>
    <row r="102" spans="2:15" x14ac:dyDescent="0.3">
      <c r="B102" s="5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8"/>
    </row>
    <row r="103" spans="2:15" x14ac:dyDescent="0.3">
      <c r="B103" s="5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8"/>
    </row>
    <row r="104" spans="2:15" x14ac:dyDescent="0.3">
      <c r="B104" s="5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8"/>
    </row>
    <row r="105" spans="2:15" x14ac:dyDescent="0.3">
      <c r="B105" s="5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8"/>
    </row>
    <row r="106" spans="2:15" x14ac:dyDescent="0.3">
      <c r="B106" s="5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8"/>
    </row>
    <row r="107" spans="2:15" x14ac:dyDescent="0.3">
      <c r="B107" s="5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8"/>
    </row>
    <row r="108" spans="2:15" x14ac:dyDescent="0.3">
      <c r="B108" s="5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8"/>
    </row>
    <row r="109" spans="2:15" x14ac:dyDescent="0.3">
      <c r="B109" s="5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8"/>
    </row>
    <row r="110" spans="2:15" x14ac:dyDescent="0.3">
      <c r="B110" s="5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8"/>
    </row>
    <row r="111" spans="2:15" x14ac:dyDescent="0.3">
      <c r="B111" s="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8"/>
    </row>
    <row r="112" spans="2:15" x14ac:dyDescent="0.3">
      <c r="B112" s="5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8"/>
    </row>
    <row r="113" spans="2:15" ht="15" thickBot="1" x14ac:dyDescent="0.35">
      <c r="B113" s="10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2"/>
    </row>
    <row r="116" spans="2:15" ht="15" thickBot="1" x14ac:dyDescent="0.35"/>
    <row r="117" spans="2:15" x14ac:dyDescent="0.3"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4"/>
    </row>
    <row r="118" spans="2:15" ht="36.6" x14ac:dyDescent="0.7">
      <c r="B118" s="5"/>
      <c r="C118" s="7"/>
      <c r="D118" s="6" t="s">
        <v>63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8"/>
    </row>
    <row r="119" spans="2:15" x14ac:dyDescent="0.3">
      <c r="B119" s="5"/>
      <c r="C119" s="13"/>
      <c r="D119" s="9" t="str" cm="1">
        <f t="array" ref="D119:J119">'Gráficas SpeedUp'!C212:I212</f>
        <v># Hilos</v>
      </c>
      <c r="E119" s="9" t="str">
        <v>1 hilo</v>
      </c>
      <c r="F119" s="9" t="str">
        <v>2 hilos</v>
      </c>
      <c r="G119" s="9" t="str">
        <v>4 hilos</v>
      </c>
      <c r="H119" s="9" t="str">
        <v>8 hilos</v>
      </c>
      <c r="I119" s="9" t="str">
        <v>12 hilos</v>
      </c>
      <c r="J119" s="9" t="str">
        <v>32 hilos</v>
      </c>
      <c r="K119" s="7"/>
      <c r="L119" s="7"/>
      <c r="M119" s="7"/>
      <c r="N119" s="7"/>
      <c r="O119" s="8"/>
    </row>
    <row r="120" spans="2:15" x14ac:dyDescent="0.3">
      <c r="B120" s="5"/>
      <c r="C120" s="49" t="s">
        <v>60</v>
      </c>
      <c r="D120" s="14" t="s">
        <v>59</v>
      </c>
      <c r="E120" s="7" cm="1">
        <f t="array" ref="E120:J120">'Gráficas SpeedUp'!D19:I19</f>
        <v>813397322</v>
      </c>
      <c r="F120" s="7">
        <v>349935959</v>
      </c>
      <c r="G120" s="7">
        <v>186637215</v>
      </c>
      <c r="H120" s="7">
        <v>313186685</v>
      </c>
      <c r="I120" s="7">
        <v>435787261</v>
      </c>
      <c r="J120" s="7">
        <v>606280329</v>
      </c>
      <c r="K120" s="7"/>
      <c r="L120" s="7"/>
      <c r="M120" s="7"/>
      <c r="N120" s="7"/>
      <c r="O120" s="8"/>
    </row>
    <row r="121" spans="2:15" x14ac:dyDescent="0.3">
      <c r="B121" s="5"/>
      <c r="C121" s="49"/>
      <c r="D121" s="14" t="s">
        <v>56</v>
      </c>
      <c r="E121" s="7" cm="1">
        <f t="array" ref="E121:J121">'Gráficas SpeedUp'!D87:I87</f>
        <v>1001964683</v>
      </c>
      <c r="F121" s="7">
        <v>473165570</v>
      </c>
      <c r="G121" s="7">
        <v>248141959</v>
      </c>
      <c r="H121" s="7">
        <v>292368424</v>
      </c>
      <c r="I121" s="7">
        <v>348995904</v>
      </c>
      <c r="J121" s="7">
        <v>384505103</v>
      </c>
      <c r="K121" s="7"/>
      <c r="L121" s="7"/>
      <c r="M121" s="7"/>
      <c r="N121" s="7"/>
      <c r="O121" s="8"/>
    </row>
    <row r="122" spans="2:15" x14ac:dyDescent="0.3">
      <c r="B122" s="5"/>
      <c r="C122" s="49"/>
      <c r="D122" s="14" t="s">
        <v>57</v>
      </c>
      <c r="E122" s="7" cm="1">
        <f t="array" ref="E122:J122">'Gráficas SpeedUp'!D155:I155</f>
        <v>812694049</v>
      </c>
      <c r="F122" s="7">
        <v>349240722</v>
      </c>
      <c r="G122" s="7">
        <v>186569232</v>
      </c>
      <c r="H122" s="7">
        <v>296264845</v>
      </c>
      <c r="I122" s="7">
        <v>382945670</v>
      </c>
      <c r="J122" s="7">
        <v>530079275</v>
      </c>
      <c r="K122" s="7"/>
      <c r="L122" s="7"/>
      <c r="M122" s="7"/>
      <c r="N122" s="7"/>
      <c r="O122" s="8"/>
    </row>
    <row r="123" spans="2:15" x14ac:dyDescent="0.3">
      <c r="B123" s="5"/>
      <c r="C123" s="49"/>
      <c r="D123" s="14" t="s">
        <v>58</v>
      </c>
      <c r="E123" s="7" cm="1">
        <f t="array" ref="E123:J123">'Gráficas SpeedUp'!D223:I223</f>
        <v>84022972</v>
      </c>
      <c r="F123" s="7">
        <v>50850877</v>
      </c>
      <c r="G123" s="7">
        <v>26196831</v>
      </c>
      <c r="H123" s="7">
        <v>20731372</v>
      </c>
      <c r="I123" s="7">
        <v>16542886</v>
      </c>
      <c r="J123" s="7">
        <v>29146334</v>
      </c>
      <c r="K123" s="7"/>
      <c r="L123" s="7"/>
      <c r="M123" s="7"/>
      <c r="N123" s="7"/>
      <c r="O123" s="8"/>
    </row>
    <row r="124" spans="2:15" x14ac:dyDescent="0.3">
      <c r="B124" s="5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8"/>
    </row>
    <row r="125" spans="2:15" x14ac:dyDescent="0.3">
      <c r="B125" s="5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8"/>
    </row>
    <row r="126" spans="2:15" x14ac:dyDescent="0.3">
      <c r="B126" s="5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8"/>
    </row>
    <row r="127" spans="2:15" x14ac:dyDescent="0.3">
      <c r="B127" s="5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8"/>
    </row>
    <row r="128" spans="2:15" x14ac:dyDescent="0.3">
      <c r="B128" s="5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8"/>
    </row>
    <row r="129" spans="2:15" x14ac:dyDescent="0.3">
      <c r="B129" s="5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8"/>
    </row>
    <row r="130" spans="2:15" x14ac:dyDescent="0.3">
      <c r="B130" s="5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8"/>
    </row>
    <row r="131" spans="2:15" x14ac:dyDescent="0.3">
      <c r="B131" s="5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8"/>
    </row>
    <row r="132" spans="2:15" x14ac:dyDescent="0.3">
      <c r="B132" s="5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8"/>
    </row>
    <row r="133" spans="2:15" x14ac:dyDescent="0.3">
      <c r="B133" s="5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8"/>
    </row>
    <row r="134" spans="2:15" x14ac:dyDescent="0.3">
      <c r="B134" s="5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8"/>
    </row>
    <row r="135" spans="2:15" x14ac:dyDescent="0.3">
      <c r="B135" s="5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8"/>
    </row>
    <row r="136" spans="2:15" x14ac:dyDescent="0.3">
      <c r="B136" s="5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8"/>
    </row>
    <row r="137" spans="2:15" x14ac:dyDescent="0.3">
      <c r="B137" s="5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8"/>
    </row>
    <row r="138" spans="2:15" x14ac:dyDescent="0.3">
      <c r="B138" s="5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8"/>
    </row>
    <row r="139" spans="2:15" x14ac:dyDescent="0.3">
      <c r="B139" s="5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8"/>
    </row>
    <row r="140" spans="2:15" x14ac:dyDescent="0.3">
      <c r="B140" s="5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8"/>
    </row>
    <row r="141" spans="2:15" x14ac:dyDescent="0.3">
      <c r="B141" s="5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8"/>
    </row>
    <row r="142" spans="2:15" x14ac:dyDescent="0.3">
      <c r="B142" s="5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8"/>
    </row>
    <row r="143" spans="2:15" x14ac:dyDescent="0.3">
      <c r="B143" s="5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8"/>
    </row>
    <row r="144" spans="2:15" x14ac:dyDescent="0.3">
      <c r="B144" s="5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8"/>
    </row>
    <row r="145" spans="2:15" x14ac:dyDescent="0.3">
      <c r="B145" s="5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8"/>
    </row>
    <row r="146" spans="2:15" x14ac:dyDescent="0.3">
      <c r="B146" s="5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8"/>
    </row>
    <row r="147" spans="2:15" x14ac:dyDescent="0.3">
      <c r="B147" s="5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8"/>
    </row>
    <row r="148" spans="2:15" x14ac:dyDescent="0.3">
      <c r="B148" s="5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8"/>
    </row>
    <row r="149" spans="2:15" x14ac:dyDescent="0.3">
      <c r="B149" s="5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8"/>
    </row>
    <row r="150" spans="2:15" x14ac:dyDescent="0.3">
      <c r="B150" s="5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8"/>
    </row>
    <row r="151" spans="2:15" ht="15" thickBot="1" x14ac:dyDescent="0.35">
      <c r="B151" s="10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2"/>
    </row>
  </sheetData>
  <mergeCells count="4">
    <mergeCell ref="C120:C123"/>
    <mergeCell ref="C6:C9"/>
    <mergeCell ref="C44:C47"/>
    <mergeCell ref="C82:C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Información completa</vt:lpstr>
      <vt:lpstr>Gráficas SpeedUp</vt:lpstr>
      <vt:lpstr>Gráficas Tiempos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Ramirez Vargas</dc:creator>
  <cp:lastModifiedBy>Julián Tobar Artunduaga</cp:lastModifiedBy>
  <dcterms:created xsi:type="dcterms:W3CDTF">2025-11-03T08:10:09Z</dcterms:created>
  <dcterms:modified xsi:type="dcterms:W3CDTF">2025-11-05T00:04:57Z</dcterms:modified>
</cp:coreProperties>
</file>