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daviddazacaro/Downloads/"/>
    </mc:Choice>
  </mc:AlternateContent>
  <xr:revisionPtr revIDLastSave="0" documentId="8_{E097DA5E-731C-8D4C-BEB8-4E658C3EEF72}" xr6:coauthVersionLast="47" xr6:coauthVersionMax="47" xr10:uidLastSave="{00000000-0000-0000-0000-000000000000}"/>
  <bookViews>
    <workbookView xWindow="0" yWindow="720" windowWidth="29400" windowHeight="18400" xr2:uid="{6FBAE34B-A4D4-4AE5-8E06-5619365ACB10}"/>
  </bookViews>
  <sheets>
    <sheet name="Información completa" sheetId="1" r:id="rId1"/>
    <sheet name="Gráficas SpeedUp" sheetId="2" r:id="rId2"/>
    <sheet name="Gráficas Tiem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3" i="1" l="1" a="1"/>
  <c r="AD143" i="1" s="1"/>
  <c r="E223" i="2" s="1"/>
  <c r="AE143" i="1" a="1"/>
  <c r="AE143" i="1" s="1"/>
  <c r="F223" i="2" s="1"/>
  <c r="AF143" i="1" a="1"/>
  <c r="AF143" i="1"/>
  <c r="AG143" i="1" a="1"/>
  <c r="AG143" i="1" s="1"/>
  <c r="H223" i="2" s="1"/>
  <c r="AH143" i="1" a="1"/>
  <c r="AH143" i="1" s="1"/>
  <c r="I223" i="2" s="1"/>
  <c r="AC143" i="1" a="1"/>
  <c r="AC143" i="1" s="1"/>
  <c r="D223" i="2" s="1"/>
  <c r="W143" i="1" a="1"/>
  <c r="W143" i="1" s="1"/>
  <c r="F220" i="2" s="1"/>
  <c r="X143" i="1" a="1"/>
  <c r="X143" i="1" s="1"/>
  <c r="G220" i="2" s="1"/>
  <c r="Y143" i="1" a="1"/>
  <c r="Y143" i="1" s="1"/>
  <c r="H220" i="2" s="1"/>
  <c r="Z143" i="1" a="1"/>
  <c r="Z143" i="1" s="1"/>
  <c r="I220" i="2" s="1"/>
  <c r="U143" i="1" a="1"/>
  <c r="U143" i="1" s="1"/>
  <c r="D220" i="2" s="1"/>
  <c r="V143" i="1" a="1"/>
  <c r="V143" i="1" s="1"/>
  <c r="E220" i="2" s="1"/>
  <c r="N143" i="1" a="1"/>
  <c r="N143" i="1" s="1"/>
  <c r="E217" i="2" s="1"/>
  <c r="O143" i="1" a="1"/>
  <c r="O143" i="1" s="1"/>
  <c r="F217" i="2" s="1"/>
  <c r="P143" i="1" a="1"/>
  <c r="P143" i="1" s="1"/>
  <c r="G217" i="2" s="1"/>
  <c r="Q143" i="1" a="1"/>
  <c r="Q143" i="1" s="1"/>
  <c r="H217" i="2" s="1"/>
  <c r="R143" i="1" a="1"/>
  <c r="R143" i="1" s="1"/>
  <c r="I217" i="2" s="1"/>
  <c r="M143" i="1" a="1"/>
  <c r="M143" i="1" s="1"/>
  <c r="D217" i="2" s="1"/>
  <c r="F143" i="1" a="1"/>
  <c r="F143" i="1" s="1"/>
  <c r="E214" i="2" s="1"/>
  <c r="G143" i="1" a="1"/>
  <c r="G143" i="1" s="1"/>
  <c r="F214" i="2" s="1"/>
  <c r="H143" i="1" a="1"/>
  <c r="H143" i="1" s="1"/>
  <c r="G214" i="2" s="1"/>
  <c r="I143" i="1" a="1"/>
  <c r="I143" i="1" s="1"/>
  <c r="H214" i="2" s="1"/>
  <c r="J143" i="1" a="1"/>
  <c r="J143" i="1" s="1"/>
  <c r="I214" i="2" s="1"/>
  <c r="E143" i="1" a="1"/>
  <c r="E143" i="1" s="1"/>
  <c r="D214" i="2" s="1"/>
  <c r="AD107" i="1" a="1"/>
  <c r="AD107" i="1" s="1"/>
  <c r="E155" i="2" s="1"/>
  <c r="AE107" i="1" a="1"/>
  <c r="AE107" i="1" s="1"/>
  <c r="F155" i="2" s="1"/>
  <c r="AF107" i="1" a="1"/>
  <c r="AF107" i="1" s="1"/>
  <c r="G155" i="2" s="1"/>
  <c r="AG107" i="1" a="1"/>
  <c r="AG107" i="1" s="1"/>
  <c r="H155" i="2" s="1"/>
  <c r="AH107" i="1" a="1"/>
  <c r="AH107" i="1" s="1"/>
  <c r="I155" i="2" s="1"/>
  <c r="AC107" i="1" a="1"/>
  <c r="AC107" i="1" s="1"/>
  <c r="D155" i="2" s="1"/>
  <c r="W107" i="1" a="1"/>
  <c r="W107" i="1" s="1"/>
  <c r="F152" i="2" s="1"/>
  <c r="X107" i="1" a="1"/>
  <c r="X107" i="1" s="1"/>
  <c r="G152" i="2" s="1"/>
  <c r="Y107" i="1" a="1"/>
  <c r="Y107" i="1" s="1"/>
  <c r="H152" i="2" s="1"/>
  <c r="Z107" i="1" a="1"/>
  <c r="Z107" i="1"/>
  <c r="U107" i="1" a="1"/>
  <c r="U107" i="1" s="1"/>
  <c r="D152" i="2" s="1"/>
  <c r="V107" i="1" a="1"/>
  <c r="V107" i="1" s="1"/>
  <c r="E152" i="2" s="1"/>
  <c r="R107" i="1" a="1"/>
  <c r="R107" i="1" s="1"/>
  <c r="I149" i="2" s="1"/>
  <c r="N107" i="1" a="1"/>
  <c r="N107" i="1" s="1"/>
  <c r="E149" i="2" s="1"/>
  <c r="O107" i="1" a="1"/>
  <c r="O107" i="1" s="1"/>
  <c r="F149" i="2" s="1"/>
  <c r="P107" i="1" a="1"/>
  <c r="P107" i="1" s="1"/>
  <c r="G149" i="2" s="1"/>
  <c r="Q107" i="1" a="1"/>
  <c r="Q107" i="1"/>
  <c r="H149" i="2" s="1"/>
  <c r="M107" i="1" a="1"/>
  <c r="M107" i="1" s="1"/>
  <c r="D149" i="2" s="1"/>
  <c r="F107" i="1" a="1"/>
  <c r="F107" i="1" s="1"/>
  <c r="E146" i="2" s="1"/>
  <c r="G107" i="1" a="1"/>
  <c r="G107" i="1" s="1"/>
  <c r="F146" i="2" s="1"/>
  <c r="H107" i="1" a="1"/>
  <c r="H107" i="1" s="1"/>
  <c r="G146" i="2" s="1"/>
  <c r="I107" i="1" a="1"/>
  <c r="I107" i="1" s="1"/>
  <c r="H146" i="2" s="1"/>
  <c r="J107" i="1" a="1"/>
  <c r="J107" i="1" s="1"/>
  <c r="I146" i="2" s="1"/>
  <c r="E107" i="1" a="1"/>
  <c r="E107" i="1" s="1"/>
  <c r="D146" i="2" s="1"/>
  <c r="AD71" i="1" a="1"/>
  <c r="AD71" i="1" s="1"/>
  <c r="E87" i="2" s="1"/>
  <c r="AE71" i="1" a="1"/>
  <c r="AE71" i="1" s="1"/>
  <c r="F87" i="2" s="1"/>
  <c r="AF71" i="1" a="1"/>
  <c r="AF71" i="1" s="1"/>
  <c r="G87" i="2" s="1"/>
  <c r="AG71" i="1" a="1"/>
  <c r="AG71" i="1" s="1"/>
  <c r="H87" i="2" s="1"/>
  <c r="AH71" i="1" a="1"/>
  <c r="AH71" i="1" s="1"/>
  <c r="I87" i="2" s="1"/>
  <c r="AC71" i="1" a="1"/>
  <c r="AC71" i="1" s="1"/>
  <c r="D87" i="2" s="1"/>
  <c r="V71" i="1" a="1"/>
  <c r="V71" i="1" s="1"/>
  <c r="E84" i="2" s="1"/>
  <c r="W71" i="1" a="1"/>
  <c r="W71" i="1" s="1"/>
  <c r="F84" i="2" s="1"/>
  <c r="X71" i="1" a="1"/>
  <c r="X71" i="1" s="1"/>
  <c r="G84" i="2" s="1"/>
  <c r="Y71" i="1" a="1"/>
  <c r="Y71" i="1" s="1"/>
  <c r="H84" i="2" s="1"/>
  <c r="Z71" i="1" a="1"/>
  <c r="Z71" i="1" s="1"/>
  <c r="I84" i="2" s="1"/>
  <c r="U71" i="1" a="1"/>
  <c r="U71" i="1" s="1"/>
  <c r="D84" i="2" s="1"/>
  <c r="N71" i="1" a="1"/>
  <c r="N71" i="1" s="1"/>
  <c r="E81" i="2" s="1"/>
  <c r="O71" i="1" a="1"/>
  <c r="O71" i="1" s="1"/>
  <c r="F81" i="2" s="1"/>
  <c r="P71" i="1" a="1"/>
  <c r="P71" i="1" s="1"/>
  <c r="G81" i="2" s="1"/>
  <c r="Q71" i="1" a="1"/>
  <c r="Q71" i="1" s="1"/>
  <c r="H81" i="2" s="1"/>
  <c r="R71" i="1" a="1"/>
  <c r="R71" i="1" s="1"/>
  <c r="I81" i="2" s="1"/>
  <c r="M71" i="1" a="1"/>
  <c r="M71" i="1" s="1"/>
  <c r="D81" i="2" s="1"/>
  <c r="H71" i="1" a="1"/>
  <c r="H71" i="1" s="1"/>
  <c r="G78" i="2" s="1"/>
  <c r="I71" i="1" a="1"/>
  <c r="I71" i="1" s="1"/>
  <c r="H78" i="2" s="1"/>
  <c r="J71" i="1" a="1"/>
  <c r="J71" i="1" s="1"/>
  <c r="I78" i="2" s="1"/>
  <c r="G71" i="1" a="1"/>
  <c r="G71" i="1" s="1"/>
  <c r="F78" i="2" s="1"/>
  <c r="F71" i="1" a="1"/>
  <c r="F71" i="1" s="1"/>
  <c r="E78" i="2" s="1"/>
  <c r="E71" i="1" a="1"/>
  <c r="E71" i="1" s="1"/>
  <c r="D78" i="2" s="1"/>
  <c r="AD35" i="1" a="1"/>
  <c r="AD35" i="1" s="1"/>
  <c r="E19" i="2" s="1"/>
  <c r="V35" i="1" a="1"/>
  <c r="V35" i="1" s="1"/>
  <c r="E16" i="2" s="1"/>
  <c r="N35" i="1" a="1"/>
  <c r="N35" i="1" s="1"/>
  <c r="E13" i="2" s="1"/>
  <c r="F35" i="1" a="1"/>
  <c r="F35" i="1" s="1"/>
  <c r="E10" i="2" s="1"/>
  <c r="AC35" i="1" a="1"/>
  <c r="AC35" i="1" s="1"/>
  <c r="D19" i="2" s="1"/>
  <c r="AE35" i="1" a="1"/>
  <c r="AE35" i="1" s="1"/>
  <c r="F19" i="2" s="1"/>
  <c r="AF35" i="1" a="1"/>
  <c r="AF35" i="1" s="1"/>
  <c r="G19" i="2" s="1"/>
  <c r="AG35" i="1" a="1"/>
  <c r="AG35" i="1" s="1"/>
  <c r="H19" i="2" s="1"/>
  <c r="AH35" i="1" a="1"/>
  <c r="AH35" i="1" s="1"/>
  <c r="I19" i="2" s="1"/>
  <c r="Z35" i="1" a="1"/>
  <c r="Z35" i="1" s="1"/>
  <c r="I16" i="2" s="1"/>
  <c r="U35" i="1" a="1"/>
  <c r="U35" i="1" s="1"/>
  <c r="D16" i="2" s="1"/>
  <c r="W35" i="1" a="1"/>
  <c r="W35" i="1" s="1"/>
  <c r="F16" i="2" s="1"/>
  <c r="X35" i="1" a="1"/>
  <c r="X35" i="1" s="1"/>
  <c r="G16" i="2" s="1"/>
  <c r="Y35" i="1" a="1"/>
  <c r="Y35" i="1" s="1"/>
  <c r="H16" i="2" s="1"/>
  <c r="M35" i="1" a="1"/>
  <c r="M35" i="1" s="1"/>
  <c r="D13" i="2" s="1"/>
  <c r="I35" i="1" a="1"/>
  <c r="I35" i="1" s="1"/>
  <c r="H10" i="2" s="1"/>
  <c r="J35" i="1" a="1"/>
  <c r="J35" i="1" s="1"/>
  <c r="I10" i="2" s="1"/>
  <c r="O35" i="1" a="1"/>
  <c r="O35" i="1" s="1"/>
  <c r="F13" i="2" s="1"/>
  <c r="P35" i="1" a="1"/>
  <c r="P35" i="1" s="1"/>
  <c r="G13" i="2" s="1"/>
  <c r="Q35" i="1" a="1"/>
  <c r="Q35" i="1" s="1"/>
  <c r="H13" i="2" s="1"/>
  <c r="R35" i="1" a="1"/>
  <c r="R35" i="1" s="1"/>
  <c r="I13" i="2" s="1"/>
  <c r="G35" i="1" a="1"/>
  <c r="G35" i="1" s="1"/>
  <c r="F10" i="2" s="1"/>
  <c r="H35" i="1" a="1"/>
  <c r="H35" i="1" s="1"/>
  <c r="G10" i="2" s="1"/>
  <c r="E35" i="1" a="1"/>
  <c r="E35" i="1" s="1"/>
  <c r="D119" i="3" a="1"/>
  <c r="D119" i="3" s="1"/>
  <c r="D81" i="3" a="1"/>
  <c r="D81" i="3" s="1"/>
  <c r="D43" i="3" a="1"/>
  <c r="D43" i="3" s="1"/>
  <c r="D5" i="3" a="1"/>
  <c r="D5" i="3" s="1"/>
  <c r="G223" i="2"/>
  <c r="M213" i="2"/>
  <c r="I152" i="2"/>
  <c r="M145" i="2"/>
  <c r="M77" i="2"/>
  <c r="M9" i="2"/>
  <c r="H222" i="2" l="1"/>
  <c r="E123" i="3" a="1"/>
  <c r="E123" i="3" s="1"/>
  <c r="F222" i="2"/>
  <c r="G222" i="2"/>
  <c r="E222" i="2"/>
  <c r="I222" i="2"/>
  <c r="H219" i="2"/>
  <c r="G219" i="2"/>
  <c r="F219" i="2"/>
  <c r="I219" i="2"/>
  <c r="E85" i="3" a="1"/>
  <c r="E85" i="3" s="1"/>
  <c r="E219" i="2"/>
  <c r="G216" i="2"/>
  <c r="E47" i="3" a="1"/>
  <c r="E47" i="3" s="1"/>
  <c r="F216" i="2"/>
  <c r="H216" i="2"/>
  <c r="I216" i="2"/>
  <c r="E216" i="2"/>
  <c r="G213" i="2"/>
  <c r="E9" i="3" a="1"/>
  <c r="E9" i="3" s="1"/>
  <c r="H154" i="2"/>
  <c r="E122" i="3" a="1"/>
  <c r="E122" i="3" s="1"/>
  <c r="G154" i="2"/>
  <c r="F154" i="2"/>
  <c r="E154" i="2"/>
  <c r="I154" i="2"/>
  <c r="I151" i="2"/>
  <c r="H151" i="2"/>
  <c r="G151" i="2"/>
  <c r="F151" i="2"/>
  <c r="E84" i="3" a="1"/>
  <c r="E84" i="3" s="1"/>
  <c r="E151" i="2"/>
  <c r="H148" i="2"/>
  <c r="E46" i="3" a="1"/>
  <c r="E46" i="3" s="1"/>
  <c r="E8" i="3" a="1"/>
  <c r="E8" i="3" s="1"/>
  <c r="H86" i="2"/>
  <c r="G86" i="2"/>
  <c r="I86" i="2"/>
  <c r="F86" i="2"/>
  <c r="E121" i="3" a="1"/>
  <c r="E121" i="3" s="1"/>
  <c r="E86" i="2"/>
  <c r="I83" i="2"/>
  <c r="G83" i="2"/>
  <c r="F83" i="2"/>
  <c r="E83" i="2"/>
  <c r="H83" i="2"/>
  <c r="E83" i="3" a="1"/>
  <c r="E83" i="3" s="1"/>
  <c r="G80" i="2"/>
  <c r="E45" i="3" a="1"/>
  <c r="E45" i="3" s="1"/>
  <c r="H80" i="2"/>
  <c r="I80" i="2"/>
  <c r="E80" i="2"/>
  <c r="F80" i="2"/>
  <c r="E77" i="2"/>
  <c r="E7" i="3" a="1"/>
  <c r="E7" i="3" s="1"/>
  <c r="G77" i="2"/>
  <c r="P77" i="2" s="1"/>
  <c r="H18" i="2"/>
  <c r="G18" i="2"/>
  <c r="F18" i="2"/>
  <c r="E18" i="2"/>
  <c r="E120" i="3" a="1"/>
  <c r="E120" i="3" s="1"/>
  <c r="I18" i="2"/>
  <c r="I15" i="2"/>
  <c r="G15" i="2"/>
  <c r="F15" i="2"/>
  <c r="H15" i="2"/>
  <c r="I12" i="2"/>
  <c r="H12" i="2"/>
  <c r="F12" i="2"/>
  <c r="E12" i="2"/>
  <c r="G12" i="2"/>
  <c r="E82" i="3" a="1"/>
  <c r="E82" i="3" s="1"/>
  <c r="E15" i="2"/>
  <c r="E44" i="3" a="1"/>
  <c r="E44" i="3" s="1"/>
  <c r="D10" i="2"/>
  <c r="G9" i="2" s="1"/>
  <c r="E6" i="3" a="1"/>
  <c r="E6" i="3" s="1"/>
  <c r="I9" i="2"/>
  <c r="R9" i="2" s="1"/>
  <c r="E9" i="2"/>
  <c r="F9" i="2"/>
  <c r="H9" i="2"/>
  <c r="I213" i="2"/>
  <c r="F213" i="2"/>
  <c r="H213" i="2"/>
  <c r="Q213" i="2" s="1"/>
  <c r="E213" i="2"/>
  <c r="I148" i="2"/>
  <c r="F148" i="2"/>
  <c r="G148" i="2"/>
  <c r="E148" i="2"/>
  <c r="H145" i="2"/>
  <c r="Q145" i="2" s="1"/>
  <c r="E145" i="2"/>
  <c r="G145" i="2"/>
  <c r="I145" i="2"/>
  <c r="F145" i="2"/>
  <c r="H77" i="2"/>
  <c r="I77" i="2"/>
  <c r="F77" i="2"/>
  <c r="P213" i="2" l="1"/>
  <c r="O213" i="2"/>
  <c r="R213" i="2"/>
  <c r="N213" i="2"/>
  <c r="P145" i="2"/>
  <c r="N145" i="2"/>
  <c r="Q77" i="2"/>
  <c r="O77" i="2"/>
  <c r="R77" i="2"/>
  <c r="N77" i="2"/>
  <c r="Q9" i="2"/>
  <c r="O9" i="2"/>
  <c r="P9" i="2"/>
  <c r="N9" i="2"/>
  <c r="O145" i="2"/>
  <c r="R1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<sst xmlns="http://schemas.openxmlformats.org/spreadsheetml/2006/main" count="444" uniqueCount="64">
  <si>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</si>
  <si>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</si>
  <si>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</si>
  <si>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</si>
  <si>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</si>
  <si>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</si>
  <si>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</si>
  <si>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</si>
  <si>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2400 x 2400</t>
  </si>
  <si>
    <t>MATRIZ 4800 x 4800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</si>
  <si>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</si>
  <si>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</si>
  <si>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</si>
  <si>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</si>
  <si>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</si>
  <si>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</si>
  <si>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</si>
  <si>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</si>
  <si>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</si>
  <si>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</si>
  <si>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</si>
  <si>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</si>
  <si>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</si>
  <si>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</si>
  <si>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</si>
  <si>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</si>
  <si>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</si>
  <si>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</si>
  <si>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</si>
  <si>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</si>
  <si>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</si>
  <si>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</si>
  <si>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</si>
  <si>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</si>
  <si>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</si>
  <si>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</si>
  <si>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</si>
  <si>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</si>
  <si>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</si>
  <si>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</si>
  <si>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CLÁSICA FORK (tiempos en microsegundos)</t>
  </si>
  <si>
    <t>CLÁSICA OPENMP (tiempos en microsegundos)</t>
  </si>
  <si>
    <t>CLÁSICA POSIX (tiempos en microsegundos)</t>
  </si>
  <si>
    <t>FILAS OPENMP (tiempos en microsegundos)</t>
  </si>
  <si>
    <t>PROMEDIO</t>
  </si>
  <si>
    <t># Hilos</t>
  </si>
  <si>
    <t>Promedio Matrices 600 x 600</t>
  </si>
  <si>
    <t>Promedio Matrices 1200 x 1200</t>
  </si>
  <si>
    <t>Promedio Matrices 2400 x 2400</t>
  </si>
  <si>
    <t>Promedio Matrices 4800 x 4800</t>
  </si>
  <si>
    <t>SpeedUp Matrices 600 x 600</t>
  </si>
  <si>
    <t>SpeedUp Matrices 1200 x 1200</t>
  </si>
  <si>
    <t>SpeedUp Matrices 2400 x 2400</t>
  </si>
  <si>
    <t>SpeedUp Matrices 4800 x 4800</t>
  </si>
  <si>
    <t>Speed Up Promedio</t>
  </si>
  <si>
    <t>MATRICES 600 X 600</t>
  </si>
  <si>
    <t>Clásica OpenMP</t>
  </si>
  <si>
    <t>Clásica POSIX</t>
  </si>
  <si>
    <t>Filas OpenMP</t>
  </si>
  <si>
    <t>Clásica Fork</t>
  </si>
  <si>
    <t>Algoritmo</t>
  </si>
  <si>
    <t>MATRICES 1200 X 1200</t>
  </si>
  <si>
    <t>MATRICES 2400 X 2400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</si>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</sst>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5" fillId="2" borderId="0" xfId="0" applyFont="1" applyFill="1"/>
    <xf numFmtId="0" fontId="0" fillId="2" borderId="0" xfId="0" applyFill="1"/>
    <xf numFmtId="0" fontId="0" fillId="2" borderId="19" xfId="0" applyFill="1" applyBorder="1"/>
    <xf numFmtId="0" fontId="4" fillId="2" borderId="0" xfId="0" applyFont="1" applyFill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0" xfId="0" applyFill="1" applyAlignment="1">
      <alignment textRotation="45"/>
    </xf>
    <xf numFmtId="0" fontId="1" fillId="2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4" xfId="0" applyFont="1" applyFill="1" applyBorder="1"/>
    <xf numFmtId="0" fontId="3" fillId="3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6" fillId="0" borderId="0" xfId="0" applyFont="1"/>
    <xf numFmtId="0" fontId="5" fillId="3" borderId="1" xfId="0" applyFont="1" applyFill="1" applyBorder="1"/>
    <xf numFmtId="0" fontId="4" fillId="3" borderId="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7" fillId="3" borderId="14" xfId="0" applyFont="1" applyFill="1" applyBorder="1"/>
    <xf numFmtId="0" fontId="4" fillId="3" borderId="7" xfId="0" applyFont="1" applyFill="1" applyBorder="1"/>
    <xf numFmtId="0" fontId="7" fillId="3" borderId="2" xfId="0" applyFont="1" applyFill="1" applyBorder="1"/>
    <xf numFmtId="0" fontId="7" fillId="3" borderId="0" xfId="0" applyFont="1" applyFill="1"/>
    <xf numFmtId="0" fontId="0" fillId="3" borderId="23" xfId="0" applyFill="1" applyBorder="1"/>
    <xf numFmtId="0" fontId="4" fillId="3" borderId="0" xfId="0" applyFont="1" applyFill="1"/>
    <xf numFmtId="0" fontId="0" fillId="3" borderId="24" xfId="0" applyFill="1" applyBorder="1"/>
    <xf numFmtId="0" fontId="4" fillId="3" borderId="9" xfId="0" applyFont="1" applyFill="1" applyBorder="1" applyAlignment="1">
      <alignment horizontal="right"/>
    </xf>
    <xf numFmtId="0" fontId="8" fillId="2" borderId="0" xfId="0" applyFont="1" applyFill="1"/>
    <xf numFmtId="0" fontId="4" fillId="3" borderId="10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5.7587074821262441</c:v>
                </c:pt>
                <c:pt idx="2">
                  <c:v>4.4034396454134539</c:v>
                </c:pt>
                <c:pt idx="3">
                  <c:v>4.4519210243711802</c:v>
                </c:pt>
                <c:pt idx="4">
                  <c:v>3.6302580081061864</c:v>
                </c:pt>
                <c:pt idx="5">
                  <c:v>4.4113351589079741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E56-B12B-718382CB6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3.8932214281469153</c:v>
                </c:pt>
                <c:pt idx="2">
                  <c:v>3.7733445016929545</c:v>
                </c:pt>
                <c:pt idx="3">
                  <c:v>5.2784087650260689</c:v>
                </c:pt>
                <c:pt idx="4">
                  <c:v>5.5272280092168735</c:v>
                </c:pt>
                <c:pt idx="5">
                  <c:v>5.6950114467040009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E5A-8B97-278A9D7180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2.739536482827166</c:v>
                </c:pt>
                <c:pt idx="2">
                  <c:v>4.621376991548388</c:v>
                </c:pt>
                <c:pt idx="3">
                  <c:v>4.5488767436236959</c:v>
                </c:pt>
                <c:pt idx="4">
                  <c:v>4.6643604459302175</c:v>
                </c:pt>
                <c:pt idx="5">
                  <c:v>4.3698025626664032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5-40FE-8793-FF53A49F6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2.2603041666250956</c:v>
                </c:pt>
                <c:pt idx="2">
                  <c:v>4.3621962911591243</c:v>
                </c:pt>
                <c:pt idx="3">
                  <c:v>4.2878490871459016</c:v>
                </c:pt>
                <c:pt idx="4">
                  <c:v>3.9642857020965305</c:v>
                </c:pt>
                <c:pt idx="5">
                  <c:v>4.0451165416227424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E-4F08-96FF-56B6774F0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3.6629423899313553</c:v>
                </c:pt>
                <c:pt idx="3">
                  <c:v>4.2900893574534802</c:v>
                </c:pt>
                <c:pt idx="4">
                  <c:v>4.6417639050417119</c:v>
                </c:pt>
                <c:pt idx="5">
                  <c:v>4.4465330413374513</c:v>
                </c:pt>
                <c:pt idx="6">
                  <c:v>4.6303164274752806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DD0-8A09-0B45463C5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5.4739293256884292</c:v>
                </c:pt>
                <c:pt idx="2">
                  <c:v>4.3995769267430695</c:v>
                </c:pt>
                <c:pt idx="3">
                  <c:v>4.4395180384148691</c:v>
                </c:pt>
                <c:pt idx="4">
                  <c:v>3.7738884049448251</c:v>
                </c:pt>
                <c:pt idx="5">
                  <c:v>4.5412420484604006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D75-9A6A-C379E8DEB3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2.9586960089343943</c:v>
                </c:pt>
                <c:pt idx="2">
                  <c:v>4.2084888915162626</c:v>
                </c:pt>
                <c:pt idx="3">
                  <c:v>5.4030572380743873</c:v>
                </c:pt>
                <c:pt idx="4">
                  <c:v>5.4213301101965223</c:v>
                </c:pt>
                <c:pt idx="5">
                  <c:v>5.4954243204272153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6-47C6-B59A-19AE844D26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2.3476587098082309</c:v>
                </c:pt>
                <c:pt idx="2">
                  <c:v>4.046855800689598</c:v>
                </c:pt>
                <c:pt idx="3">
                  <c:v>4.2019790103589889</c:v>
                </c:pt>
                <c:pt idx="4">
                  <c:v>4.1757209635960226</c:v>
                </c:pt>
                <c:pt idx="5">
                  <c:v>4.1595015758782363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223-8B36-EC2F6F367B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2.2266088512724114</c:v>
                </c:pt>
                <c:pt idx="2">
                  <c:v>4.2767186412171139</c:v>
                </c:pt>
                <c:pt idx="3">
                  <c:v>4.2645652973570902</c:v>
                </c:pt>
                <c:pt idx="4">
                  <c:v>4.1018771955629978</c:v>
                </c:pt>
                <c:pt idx="5">
                  <c:v>4.2041909308907393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D-4D41-AE8B-1F91F9DCA0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3.2517232239258664</c:v>
                </c:pt>
                <c:pt idx="3">
                  <c:v>4.2329100650415104</c:v>
                </c:pt>
                <c:pt idx="4">
                  <c:v>4.5772798960513343</c:v>
                </c:pt>
                <c:pt idx="5">
                  <c:v>4.3682041685750921</c:v>
                </c:pt>
                <c:pt idx="6">
                  <c:v>4.6000897189141483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A-40BC-A714-CC3B59A4E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5.7050329463578509</c:v>
                </c:pt>
                <c:pt idx="2">
                  <c:v>4.3588184807879822</c:v>
                </c:pt>
                <c:pt idx="3">
                  <c:v>4.3945173975058562</c:v>
                </c:pt>
                <c:pt idx="4">
                  <c:v>3.686036237511285</c:v>
                </c:pt>
                <c:pt idx="5">
                  <c:v>4.4879165559971197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34B-9FAA-2DF724F41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5287520878073"/>
          <c:y val="0.14209099346951093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4.0060540685075914</c:v>
                </c:pt>
                <c:pt idx="2">
                  <c:v>3.8263540602722865</c:v>
                </c:pt>
                <c:pt idx="3">
                  <c:v>5.5292513381242188</c:v>
                </c:pt>
                <c:pt idx="4">
                  <c:v>5.788654015353524</c:v>
                </c:pt>
                <c:pt idx="5">
                  <c:v>6.0549065259273673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E40-8FD2-C09BA09CF4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2.7029853167219628</c:v>
                </c:pt>
                <c:pt idx="2">
                  <c:v>4.3073905624656277</c:v>
                </c:pt>
                <c:pt idx="3">
                  <c:v>4.5694219560389344</c:v>
                </c:pt>
                <c:pt idx="4">
                  <c:v>4.5620687776772089</c:v>
                </c:pt>
                <c:pt idx="5">
                  <c:v>4.3192890989514519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8-48CE-8A65-64A7E9A7FD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2.22400472717008</c:v>
                </c:pt>
                <c:pt idx="2">
                  <c:v>4.319805370145998</c:v>
                </c:pt>
                <c:pt idx="3">
                  <c:v>4.316527452036433</c:v>
                </c:pt>
                <c:pt idx="4">
                  <c:v>4.0594488638771988</c:v>
                </c:pt>
                <c:pt idx="5">
                  <c:v>4.0853630949568815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C-4502-A19C-A19B8D577B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6196611787165"/>
          <c:y val="0.13654228927165551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3.6595192646893708</c:v>
                </c:pt>
                <c:pt idx="3">
                  <c:v>4.2030921184179739</c:v>
                </c:pt>
                <c:pt idx="4">
                  <c:v>4.7024295359263606</c:v>
                </c:pt>
                <c:pt idx="5">
                  <c:v>4.5240519736048039</c:v>
                </c:pt>
                <c:pt idx="6">
                  <c:v>4.7368688189582056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FBC-A264-295997FC47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4.7370542022945559</c:v>
                </c:pt>
                <c:pt idx="2">
                  <c:v>3.8315832808640482</c:v>
                </c:pt>
                <c:pt idx="3">
                  <c:v>3.8428249443812965</c:v>
                </c:pt>
                <c:pt idx="4">
                  <c:v>3.0371938742211286</c:v>
                </c:pt>
                <c:pt idx="5">
                  <c:v>3.8861860106401269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5-44F4-81B6-2A85E661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2.2926870045611856</c:v>
                </c:pt>
                <c:pt idx="2">
                  <c:v>3.9914309636735945</c:v>
                </c:pt>
                <c:pt idx="3">
                  <c:v>3.9441157949818626</c:v>
                </c:pt>
                <c:pt idx="4">
                  <c:v>3.9617546704202264</c:v>
                </c:pt>
                <c:pt idx="5">
                  <c:v>4.0078188569250894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8-48B8-BDCA-8502905A14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2.3355519113910277</c:v>
                </c:pt>
                <c:pt idx="2">
                  <c:v>3.9425325497967698</c:v>
                </c:pt>
                <c:pt idx="3">
                  <c:v>4.133295248945771</c:v>
                </c:pt>
                <c:pt idx="4">
                  <c:v>4.0700636153652638</c:v>
                </c:pt>
                <c:pt idx="5">
                  <c:v>4.1011233168051042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A-47B3-A292-5527120C73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2.1141485770996011</c:v>
                </c:pt>
                <c:pt idx="2">
                  <c:v>3.9422269200751323</c:v>
                </c:pt>
                <c:pt idx="3">
                  <c:v>4.1078377947662732</c:v>
                </c:pt>
                <c:pt idx="4">
                  <c:v>4.0417899266466639</c:v>
                </c:pt>
                <c:pt idx="5">
                  <c:v>4.1787601969330943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B2B-9E58-2850204B01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2.8698604238365926</c:v>
                </c:pt>
                <c:pt idx="3">
                  <c:v>3.9269434286023861</c:v>
                </c:pt>
                <c:pt idx="4">
                  <c:v>4.007018445768801</c:v>
                </c:pt>
                <c:pt idx="5">
                  <c:v>3.7777005216633208</c:v>
                </c:pt>
                <c:pt idx="6">
                  <c:v>4.0434720953258534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9-47CC-9036-EC0C2FB94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600 x 600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2711211</c:v>
                </c:pt>
                <c:pt idx="1">
                  <c:v>470802</c:v>
                </c:pt>
                <c:pt idx="2">
                  <c:v>615703</c:v>
                </c:pt>
                <c:pt idx="3">
                  <c:v>608998</c:v>
                </c:pt>
                <c:pt idx="4">
                  <c:v>746837</c:v>
                </c:pt>
                <c:pt idx="5">
                  <c:v>614601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7-4E63-A010-A3B062458423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1200055</c:v>
                </c:pt>
                <c:pt idx="1">
                  <c:v>219231</c:v>
                </c:pt>
                <c:pt idx="2">
                  <c:v>272766</c:v>
                </c:pt>
                <c:pt idx="3">
                  <c:v>270312</c:v>
                </c:pt>
                <c:pt idx="4">
                  <c:v>317989</c:v>
                </c:pt>
                <c:pt idx="5">
                  <c:v>264257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7-4E63-A010-A3B062458423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2686597</c:v>
                </c:pt>
                <c:pt idx="1">
                  <c:v>470917</c:v>
                </c:pt>
                <c:pt idx="2">
                  <c:v>616359</c:v>
                </c:pt>
                <c:pt idx="3">
                  <c:v>611352</c:v>
                </c:pt>
                <c:pt idx="4">
                  <c:v>728858</c:v>
                </c:pt>
                <c:pt idx="5">
                  <c:v>598629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7-4E63-A010-A3B062458423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791107</c:v>
                </c:pt>
                <c:pt idx="1">
                  <c:v>167004</c:v>
                </c:pt>
                <c:pt idx="2">
                  <c:v>206470</c:v>
                </c:pt>
                <c:pt idx="3">
                  <c:v>205866</c:v>
                </c:pt>
                <c:pt idx="4">
                  <c:v>260473</c:v>
                </c:pt>
                <c:pt idx="5">
                  <c:v>203569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7-4E63-A010-A3B06245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18866115</c:v>
                </c:pt>
                <c:pt idx="1">
                  <c:v>4845888</c:v>
                </c:pt>
                <c:pt idx="2">
                  <c:v>4999839</c:v>
                </c:pt>
                <c:pt idx="3">
                  <c:v>3574205</c:v>
                </c:pt>
                <c:pt idx="4">
                  <c:v>3413305</c:v>
                </c:pt>
                <c:pt idx="5">
                  <c:v>3312744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3-42C7-8ABD-FDA63673265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5552857</c:v>
                </c:pt>
                <c:pt idx="1">
                  <c:v>1876792</c:v>
                </c:pt>
                <c:pt idx="2">
                  <c:v>1319442</c:v>
                </c:pt>
                <c:pt idx="3">
                  <c:v>1027725</c:v>
                </c:pt>
                <c:pt idx="4">
                  <c:v>1024261</c:v>
                </c:pt>
                <c:pt idx="5">
                  <c:v>1010451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3-42C7-8ABD-FDA63673265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19296866</c:v>
                </c:pt>
                <c:pt idx="1">
                  <c:v>4816926</c:v>
                </c:pt>
                <c:pt idx="2">
                  <c:v>5043147</c:v>
                </c:pt>
                <c:pt idx="3">
                  <c:v>3489960</c:v>
                </c:pt>
                <c:pt idx="4">
                  <c:v>3333567</c:v>
                </c:pt>
                <c:pt idx="5">
                  <c:v>3186980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3-42C7-8ABD-FDA63673265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3112921</c:v>
                </c:pt>
                <c:pt idx="1">
                  <c:v>1357761</c:v>
                </c:pt>
                <c:pt idx="2">
                  <c:v>779901</c:v>
                </c:pt>
                <c:pt idx="3">
                  <c:v>789257</c:v>
                </c:pt>
                <c:pt idx="4">
                  <c:v>785743</c:v>
                </c:pt>
                <c:pt idx="5">
                  <c:v>776712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3-42C7-8ABD-FDA6367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</a:t>
            </a:r>
            <a:r>
              <a:rPr lang="en-US" baseline="0"/>
              <a:t>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142686914</c:v>
                </c:pt>
                <c:pt idx="1">
                  <c:v>52084327</c:v>
                </c:pt>
                <c:pt idx="2">
                  <c:v>30875411</c:v>
                </c:pt>
                <c:pt idx="3">
                  <c:v>31367505</c:v>
                </c:pt>
                <c:pt idx="4">
                  <c:v>30590885</c:v>
                </c:pt>
                <c:pt idx="5">
                  <c:v>32652943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E02-809F-1823FB8DA9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109510771</c:v>
                </c:pt>
                <c:pt idx="1">
                  <c:v>46646802</c:v>
                </c:pt>
                <c:pt idx="2">
                  <c:v>27060705</c:v>
                </c:pt>
                <c:pt idx="3">
                  <c:v>26061713</c:v>
                </c:pt>
                <c:pt idx="4">
                  <c:v>26225596</c:v>
                </c:pt>
                <c:pt idx="5">
                  <c:v>26327859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5-4E02-809F-1823FB8DA9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140362046</c:v>
                </c:pt>
                <c:pt idx="1">
                  <c:v>51928527</c:v>
                </c:pt>
                <c:pt idx="2">
                  <c:v>32586329</c:v>
                </c:pt>
                <c:pt idx="3">
                  <c:v>30717681</c:v>
                </c:pt>
                <c:pt idx="4">
                  <c:v>30767192</c:v>
                </c:pt>
                <c:pt idx="5">
                  <c:v>32496562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5-4E02-809F-1823FB8DA9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25627530</c:v>
                </c:pt>
                <c:pt idx="1">
                  <c:v>10972794</c:v>
                </c:pt>
                <c:pt idx="2">
                  <c:v>6500271</c:v>
                </c:pt>
                <c:pt idx="3">
                  <c:v>6200266</c:v>
                </c:pt>
                <c:pt idx="4">
                  <c:v>6296592</c:v>
                </c:pt>
                <c:pt idx="5">
                  <c:v>6248905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5-4E02-809F-1823FB8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para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1417072687</c:v>
                </c:pt>
                <c:pt idx="1">
                  <c:v>626938935</c:v>
                </c:pt>
                <c:pt idx="2">
                  <c:v>324853031</c:v>
                </c:pt>
                <c:pt idx="3">
                  <c:v>330485672</c:v>
                </c:pt>
                <c:pt idx="4">
                  <c:v>357459778</c:v>
                </c:pt>
                <c:pt idx="5">
                  <c:v>350316900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824-A776-656C04E10B8E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1347066254</c:v>
                </c:pt>
                <c:pt idx="1">
                  <c:v>604985583</c:v>
                </c:pt>
                <c:pt idx="2">
                  <c:v>314976590</c:v>
                </c:pt>
                <c:pt idx="3">
                  <c:v>315874224</c:v>
                </c:pt>
                <c:pt idx="4">
                  <c:v>328402385</c:v>
                </c:pt>
                <c:pt idx="5">
                  <c:v>320410342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A-4824-A776-656C04E10B8E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1402087847</c:v>
                </c:pt>
                <c:pt idx="1">
                  <c:v>630433843</c:v>
                </c:pt>
                <c:pt idx="2">
                  <c:v>324571995</c:v>
                </c:pt>
                <c:pt idx="3">
                  <c:v>324818471</c:v>
                </c:pt>
                <c:pt idx="4">
                  <c:v>345388720</c:v>
                </c:pt>
                <c:pt idx="5">
                  <c:v>343197854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A-4824-A776-656C04E10B8E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175278974</c:v>
                </c:pt>
                <c:pt idx="1">
                  <c:v>82907595</c:v>
                </c:pt>
                <c:pt idx="2">
                  <c:v>44461919</c:v>
                </c:pt>
                <c:pt idx="3">
                  <c:v>42669400</c:v>
                </c:pt>
                <c:pt idx="4">
                  <c:v>43366671</c:v>
                </c:pt>
                <c:pt idx="5">
                  <c:v>41945210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A-4824-A776-656C04E1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12245</xdr:colOff>
      <xdr:row>20</xdr:row>
      <xdr:rowOff>3392</xdr:rowOff>
    </xdr:from>
    <xdr:to>
      <xdr:col>11</xdr:col>
      <xdr:colOff>758371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68465-1518-4B3C-A5D5-6379B26E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</xdr:rowOff>
    </xdr:from>
    <xdr:to>
      <xdr:col>24</xdr:col>
      <xdr:colOff>0</xdr:colOff>
      <xdr:row>43</xdr:row>
      <xdr:rowOff>178037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1576D4-C1CF-4234-8548-CE076FAF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10430</xdr:colOff>
      <xdr:row>45</xdr:row>
      <xdr:rowOff>0</xdr:rowOff>
    </xdr:from>
    <xdr:to>
      <xdr:col>11</xdr:col>
      <xdr:colOff>756479</xdr:colOff>
      <xdr:row>69</xdr:row>
      <xdr:rowOff>5522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B2D09A-CE6B-4037-80C4-C0963027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760186</xdr:colOff>
      <xdr:row>45</xdr:row>
      <xdr:rowOff>6350</xdr:rowOff>
    </xdr:from>
    <xdr:to>
      <xdr:col>23</xdr:col>
      <xdr:colOff>755650</xdr:colOff>
      <xdr:row>68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5C468F1-E53F-4847-9260-4C773191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32</xdr:row>
      <xdr:rowOff>172357</xdr:rowOff>
    </xdr:from>
    <xdr:to>
      <xdr:col>36</xdr:col>
      <xdr:colOff>0</xdr:colOff>
      <xdr:row>57</xdr:row>
      <xdr:rowOff>14941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5920F9-41EF-43DC-80E1-85288AC7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12245</xdr:colOff>
      <xdr:row>88</xdr:row>
      <xdr:rowOff>3392</xdr:rowOff>
    </xdr:from>
    <xdr:to>
      <xdr:col>11</xdr:col>
      <xdr:colOff>758371</xdr:colOff>
      <xdr:row>112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03AF71-687F-4EBA-A5E3-FB20B224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88</xdr:row>
      <xdr:rowOff>1</xdr:rowOff>
    </xdr:from>
    <xdr:to>
      <xdr:col>24</xdr:col>
      <xdr:colOff>0</xdr:colOff>
      <xdr:row>111</xdr:row>
      <xdr:rowOff>178037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1CF69E-0389-48D0-8999-914AF4FC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10430</xdr:colOff>
      <xdr:row>113</xdr:row>
      <xdr:rowOff>0</xdr:rowOff>
    </xdr:from>
    <xdr:to>
      <xdr:col>11</xdr:col>
      <xdr:colOff>756479</xdr:colOff>
      <xdr:row>137</xdr:row>
      <xdr:rowOff>5522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78BC50-35FD-48CB-A1DC-608FB52E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760186</xdr:colOff>
      <xdr:row>113</xdr:row>
      <xdr:rowOff>6350</xdr:rowOff>
    </xdr:from>
    <xdr:to>
      <xdr:col>23</xdr:col>
      <xdr:colOff>755650</xdr:colOff>
      <xdr:row>136</xdr:row>
      <xdr:rowOff>177800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8C186-03F2-47BE-A7F1-D26F32BA4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743857</xdr:colOff>
      <xdr:row>100</xdr:row>
      <xdr:rowOff>145143</xdr:rowOff>
    </xdr:from>
    <xdr:to>
      <xdr:col>35</xdr:col>
      <xdr:colOff>743857</xdr:colOff>
      <xdr:row>124</xdr:row>
      <xdr:rowOff>169155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9DDE978-282D-40EF-98D9-5513BCEA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12245</xdr:colOff>
      <xdr:row>156</xdr:row>
      <xdr:rowOff>3392</xdr:rowOff>
    </xdr:from>
    <xdr:to>
      <xdr:col>11</xdr:col>
      <xdr:colOff>758371</xdr:colOff>
      <xdr:row>180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C1F6FC5-AD76-499A-A0C6-0D1930628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156</xdr:row>
      <xdr:rowOff>1</xdr:rowOff>
    </xdr:from>
    <xdr:to>
      <xdr:col>24</xdr:col>
      <xdr:colOff>0</xdr:colOff>
      <xdr:row>179</xdr:row>
      <xdr:rowOff>178037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95EAF62-3D43-4CFD-AC20-255E7881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10430</xdr:colOff>
      <xdr:row>181</xdr:row>
      <xdr:rowOff>0</xdr:rowOff>
    </xdr:from>
    <xdr:to>
      <xdr:col>11</xdr:col>
      <xdr:colOff>756479</xdr:colOff>
      <xdr:row>205</xdr:row>
      <xdr:rowOff>5522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95AD34-BD84-42B1-A2EB-85ADBC8F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760186</xdr:colOff>
      <xdr:row>181</xdr:row>
      <xdr:rowOff>6350</xdr:rowOff>
    </xdr:from>
    <xdr:to>
      <xdr:col>23</xdr:col>
      <xdr:colOff>755650</xdr:colOff>
      <xdr:row>204</xdr:row>
      <xdr:rowOff>177800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B1AAD86-FC40-4A09-9627-4CF4E917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743857</xdr:colOff>
      <xdr:row>168</xdr:row>
      <xdr:rowOff>145143</xdr:rowOff>
    </xdr:from>
    <xdr:to>
      <xdr:col>35</xdr:col>
      <xdr:colOff>743857</xdr:colOff>
      <xdr:row>192</xdr:row>
      <xdr:rowOff>169155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EC430-5F70-4F28-9D33-D73DCFD5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12245</xdr:colOff>
      <xdr:row>224</xdr:row>
      <xdr:rowOff>3392</xdr:rowOff>
    </xdr:from>
    <xdr:to>
      <xdr:col>11</xdr:col>
      <xdr:colOff>758371</xdr:colOff>
      <xdr:row>248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E7BF2A2-99D6-4215-BCCE-705C294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224</xdr:row>
      <xdr:rowOff>1</xdr:rowOff>
    </xdr:from>
    <xdr:to>
      <xdr:col>24</xdr:col>
      <xdr:colOff>0</xdr:colOff>
      <xdr:row>247</xdr:row>
      <xdr:rowOff>178037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1CDC8F6-4D3B-4D1B-8D42-5CCD7805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10430</xdr:colOff>
      <xdr:row>249</xdr:row>
      <xdr:rowOff>0</xdr:rowOff>
    </xdr:from>
    <xdr:to>
      <xdr:col>11</xdr:col>
      <xdr:colOff>756479</xdr:colOff>
      <xdr:row>273</xdr:row>
      <xdr:rowOff>5522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5F0A8E4-F293-441B-91A7-64A44E911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760186</xdr:colOff>
      <xdr:row>249</xdr:row>
      <xdr:rowOff>6350</xdr:rowOff>
    </xdr:from>
    <xdr:to>
      <xdr:col>23</xdr:col>
      <xdr:colOff>755650</xdr:colOff>
      <xdr:row>272</xdr:row>
      <xdr:rowOff>177800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805AF3C-EAF8-40C3-AEB1-143FF314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743857</xdr:colOff>
      <xdr:row>236</xdr:row>
      <xdr:rowOff>145143</xdr:rowOff>
    </xdr:from>
    <xdr:to>
      <xdr:col>35</xdr:col>
      <xdr:colOff>743857</xdr:colOff>
      <xdr:row>260</xdr:row>
      <xdr:rowOff>169155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40FBCDE-C900-4108-9B2A-F9E8BFC1D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-1</xdr:rowOff>
    </xdr:from>
    <xdr:to>
      <xdr:col>14</xdr:col>
      <xdr:colOff>0</xdr:colOff>
      <xdr:row>36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1B22B-6B47-47C4-94A0-80CC9062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0C1AE-A11F-4AEB-863A-AC9AC7E8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14</xdr:col>
      <xdr:colOff>0</xdr:colOff>
      <xdr:row>112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253A1-4A62-4AEC-88C2-55651A0F0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14</xdr:col>
      <xdr:colOff>0</xdr:colOff>
      <xdr:row>150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A2641C-1B6A-43C7-860E-AC2DD53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4F4A-6F75-42C8-AFA7-27988206E9C1}">
  <dimension ref="B1:AI146"/>
  <sheetViews>
    <sheetView tabSelected="1" topLeftCell="F1" zoomScaleNormal="55" workbookViewId="0">
      <selection activeCell="AF130" sqref="AF130"/>
    </sheetView>
  </sheetViews>
  <sheetFormatPr baseColWidth="10" defaultRowHeight="15" x14ac:dyDescent="0.2"/>
  <cols>
    <col min="2" max="2" width="2.5" customWidth="1"/>
    <col min="3" max="3" width="24.5" customWidth="1"/>
    <col min="4" max="4" width="16.5" customWidth="1"/>
    <col min="5" max="5" width="10.83203125" customWidth="1"/>
    <col min="7" max="7" width="10.83203125" customWidth="1"/>
    <col min="11" max="11" width="16.5" customWidth="1"/>
    <col min="19" max="19" width="16.5" customWidth="1"/>
    <col min="26" max="26" width="10.83203125" customWidth="1"/>
    <col min="27" max="27" width="17.6640625" customWidth="1"/>
    <col min="28" max="28" width="7.5" customWidth="1"/>
    <col min="29" max="29" width="17.83203125" customWidth="1"/>
    <col min="30" max="30" width="13.83203125" customWidth="1"/>
    <col min="35" max="35" width="1.83203125" customWidth="1"/>
    <col min="60" max="60" width="4.33203125" customWidth="1"/>
    <col min="67" max="67" width="10.83203125" customWidth="1"/>
  </cols>
  <sheetData>
    <row r="1" spans="2:35" ht="16" thickBot="1" x14ac:dyDescent="0.25"/>
    <row r="2" spans="2:35" ht="37" x14ac:dyDescent="0.45">
      <c r="B2" s="32" t="s">
        <v>40</v>
      </c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</row>
    <row r="3" spans="2:35" ht="16" thickBot="1" x14ac:dyDescent="0.25">
      <c r="B3" s="33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2:35" x14ac:dyDescent="0.2">
      <c r="B4" s="29"/>
      <c r="C4" s="43" t="s">
        <v>0</v>
      </c>
      <c r="D4" s="34"/>
      <c r="E4" s="34" t="s">
        <v>1</v>
      </c>
      <c r="F4" s="34" t="s">
        <v>2</v>
      </c>
      <c r="G4" s="34" t="s">
        <v>3</v>
      </c>
      <c r="H4" s="34" t="s">
        <v>4</v>
      </c>
      <c r="I4" s="34" t="s">
        <v>5</v>
      </c>
      <c r="J4" s="34" t="s">
        <v>6</v>
      </c>
      <c r="K4" s="45" t="s">
        <v>7</v>
      </c>
      <c r="L4" s="45"/>
      <c r="M4" s="34" t="s">
        <v>1</v>
      </c>
      <c r="N4" s="34" t="s">
        <v>2</v>
      </c>
      <c r="O4" s="34" t="s">
        <v>3</v>
      </c>
      <c r="P4" s="34" t="s">
        <v>4</v>
      </c>
      <c r="Q4" s="34" t="s">
        <v>5</v>
      </c>
      <c r="R4" s="34" t="s">
        <v>6</v>
      </c>
      <c r="S4" s="45" t="s">
        <v>8</v>
      </c>
      <c r="T4" s="45"/>
      <c r="U4" s="34" t="s">
        <v>1</v>
      </c>
      <c r="V4" s="34" t="s">
        <v>2</v>
      </c>
      <c r="W4" s="34" t="s">
        <v>3</v>
      </c>
      <c r="X4" s="34" t="s">
        <v>4</v>
      </c>
      <c r="Y4" s="34" t="s">
        <v>5</v>
      </c>
      <c r="Z4" s="34" t="s">
        <v>6</v>
      </c>
      <c r="AA4" s="45" t="s">
        <v>9</v>
      </c>
      <c r="AB4" s="45"/>
      <c r="AC4" s="34" t="s">
        <v>1</v>
      </c>
      <c r="AD4" s="34" t="s">
        <v>2</v>
      </c>
      <c r="AE4" s="34" t="s">
        <v>3</v>
      </c>
      <c r="AF4" s="34" t="s">
        <v>4</v>
      </c>
      <c r="AG4" s="34" t="s">
        <v>5</v>
      </c>
      <c r="AH4" s="35" t="s">
        <v>6</v>
      </c>
      <c r="AI4" s="21"/>
    </row>
    <row r="5" spans="2:35" x14ac:dyDescent="0.2">
      <c r="B5" s="29"/>
      <c r="C5" s="23"/>
      <c r="D5" s="41" t="s">
        <v>10</v>
      </c>
      <c r="E5" s="40">
        <v>2588261</v>
      </c>
      <c r="F5" s="40">
        <v>467912</v>
      </c>
      <c r="G5" s="40">
        <v>647822</v>
      </c>
      <c r="H5" s="40">
        <v>664003</v>
      </c>
      <c r="I5" s="40">
        <v>602581</v>
      </c>
      <c r="J5" s="40">
        <v>603915</v>
      </c>
      <c r="K5" s="20"/>
      <c r="L5" s="20"/>
      <c r="M5" s="40">
        <v>18639759</v>
      </c>
      <c r="N5" s="40">
        <v>4822685</v>
      </c>
      <c r="O5" s="40">
        <v>5219048</v>
      </c>
      <c r="P5" s="40">
        <v>3525474</v>
      </c>
      <c r="Q5" s="40">
        <v>3656112</v>
      </c>
      <c r="R5" s="40">
        <v>3235996</v>
      </c>
      <c r="S5" s="20"/>
      <c r="T5" s="20"/>
      <c r="U5" s="40">
        <v>136560266</v>
      </c>
      <c r="V5" s="40">
        <v>48483874</v>
      </c>
      <c r="W5" s="40">
        <v>29696528</v>
      </c>
      <c r="X5" s="40">
        <v>31471902</v>
      </c>
      <c r="Y5" s="40">
        <v>30464945</v>
      </c>
      <c r="Z5" s="40">
        <v>32284349</v>
      </c>
      <c r="AA5" s="20"/>
      <c r="AB5" s="20"/>
      <c r="AC5" s="40">
        <v>1353623255</v>
      </c>
      <c r="AD5" s="40">
        <v>654329207</v>
      </c>
      <c r="AE5" s="40">
        <v>322560690</v>
      </c>
      <c r="AF5" s="40">
        <v>326720748</v>
      </c>
      <c r="AG5" s="40">
        <v>332212104</v>
      </c>
      <c r="AH5" s="42">
        <v>348462617</v>
      </c>
      <c r="AI5" s="21"/>
    </row>
    <row r="6" spans="2:35" x14ac:dyDescent="0.2">
      <c r="B6" s="29"/>
      <c r="C6" s="23"/>
      <c r="D6" s="41" t="s">
        <v>11</v>
      </c>
      <c r="E6" s="40">
        <v>2793457</v>
      </c>
      <c r="F6" s="40">
        <v>466222</v>
      </c>
      <c r="G6" s="40">
        <v>603713</v>
      </c>
      <c r="H6" s="40">
        <v>631819</v>
      </c>
      <c r="I6" s="40">
        <v>629469</v>
      </c>
      <c r="J6" s="40">
        <v>644595</v>
      </c>
      <c r="K6" s="20"/>
      <c r="L6" s="20"/>
      <c r="M6" s="40">
        <v>19673687</v>
      </c>
      <c r="N6" s="40">
        <v>4800470</v>
      </c>
      <c r="O6" s="40">
        <v>5143556</v>
      </c>
      <c r="P6" s="40">
        <v>3620251</v>
      </c>
      <c r="Q6" s="40">
        <v>3399033</v>
      </c>
      <c r="R6" s="40">
        <v>3257714</v>
      </c>
      <c r="S6" s="20"/>
      <c r="T6" s="20"/>
      <c r="U6" s="40">
        <v>149822003</v>
      </c>
      <c r="V6" s="40">
        <v>49378930</v>
      </c>
      <c r="W6" s="40">
        <v>31445893</v>
      </c>
      <c r="X6" s="40">
        <v>32030510</v>
      </c>
      <c r="Y6" s="40">
        <v>29528384</v>
      </c>
      <c r="Z6" s="40">
        <v>31731531</v>
      </c>
      <c r="AA6" s="20"/>
      <c r="AB6" s="20"/>
      <c r="AC6" s="40">
        <v>1358063371</v>
      </c>
      <c r="AD6" s="40">
        <v>618409923</v>
      </c>
      <c r="AE6" s="40">
        <v>319715030</v>
      </c>
      <c r="AF6" s="40">
        <v>327864213</v>
      </c>
      <c r="AG6" s="40">
        <v>330287389</v>
      </c>
      <c r="AH6" s="42">
        <v>354874247</v>
      </c>
      <c r="AI6" s="21"/>
    </row>
    <row r="7" spans="2:35" x14ac:dyDescent="0.2">
      <c r="B7" s="29"/>
      <c r="C7" s="23"/>
      <c r="D7" s="41" t="s">
        <v>12</v>
      </c>
      <c r="E7" s="40">
        <v>2577359</v>
      </c>
      <c r="F7" s="40">
        <v>476730</v>
      </c>
      <c r="G7" s="40">
        <v>629723</v>
      </c>
      <c r="H7" s="40">
        <v>620636</v>
      </c>
      <c r="I7" s="40">
        <v>637847</v>
      </c>
      <c r="J7" s="40">
        <v>628320</v>
      </c>
      <c r="K7" s="20"/>
      <c r="L7" s="20"/>
      <c r="M7" s="40">
        <v>18855229</v>
      </c>
      <c r="N7" s="40">
        <v>4985415</v>
      </c>
      <c r="O7" s="40">
        <v>5208523</v>
      </c>
      <c r="P7" s="40">
        <v>3696246</v>
      </c>
      <c r="Q7" s="40">
        <v>3448693</v>
      </c>
      <c r="R7" s="40">
        <v>3421660</v>
      </c>
      <c r="S7" s="20"/>
      <c r="T7" s="20"/>
      <c r="U7" s="40">
        <v>143005854</v>
      </c>
      <c r="V7" s="40">
        <v>52029714</v>
      </c>
      <c r="W7" s="40">
        <v>30267730</v>
      </c>
      <c r="X7" s="40">
        <v>28645125</v>
      </c>
      <c r="Y7" s="40">
        <v>29209810</v>
      </c>
      <c r="Z7" s="40">
        <v>33027409</v>
      </c>
      <c r="AA7" s="20"/>
      <c r="AB7" s="20"/>
      <c r="AC7" s="40">
        <v>1362894853</v>
      </c>
      <c r="AD7" s="40">
        <v>624381402</v>
      </c>
      <c r="AE7" s="40">
        <v>333868363</v>
      </c>
      <c r="AF7" s="40">
        <v>326811201</v>
      </c>
      <c r="AG7" s="40">
        <v>329608518</v>
      </c>
      <c r="AH7" s="42">
        <v>347526948</v>
      </c>
      <c r="AI7" s="21"/>
    </row>
    <row r="8" spans="2:35" x14ac:dyDescent="0.2">
      <c r="B8" s="29"/>
      <c r="C8" s="23"/>
      <c r="D8" s="41" t="s">
        <v>13</v>
      </c>
      <c r="E8" s="40">
        <v>2650614</v>
      </c>
      <c r="F8" s="40">
        <v>465132</v>
      </c>
      <c r="G8" s="40">
        <v>599935</v>
      </c>
      <c r="H8" s="40">
        <v>602169</v>
      </c>
      <c r="I8" s="40">
        <v>614783</v>
      </c>
      <c r="J8" s="40">
        <v>630465</v>
      </c>
      <c r="K8" s="20"/>
      <c r="L8" s="20"/>
      <c r="M8" s="40">
        <v>20479841</v>
      </c>
      <c r="N8" s="40">
        <v>4891026</v>
      </c>
      <c r="O8" s="40">
        <v>5245742</v>
      </c>
      <c r="P8" s="40">
        <v>2506607</v>
      </c>
      <c r="Q8" s="40">
        <v>3297352</v>
      </c>
      <c r="R8" s="40">
        <v>3225544</v>
      </c>
      <c r="S8" s="20"/>
      <c r="T8" s="20"/>
      <c r="U8" s="40">
        <v>139225098</v>
      </c>
      <c r="V8" s="40">
        <v>52206526</v>
      </c>
      <c r="W8" s="40">
        <v>30534712</v>
      </c>
      <c r="X8" s="40">
        <v>30765826</v>
      </c>
      <c r="Y8" s="40">
        <v>30206195</v>
      </c>
      <c r="Z8" s="40">
        <v>30913811</v>
      </c>
      <c r="AA8" s="20"/>
      <c r="AB8" s="20"/>
      <c r="AC8" s="40">
        <v>1364189094</v>
      </c>
      <c r="AD8" s="40">
        <v>611160561</v>
      </c>
      <c r="AE8" s="40">
        <v>322768737</v>
      </c>
      <c r="AF8" s="40">
        <v>333886190</v>
      </c>
      <c r="AG8" s="40">
        <v>331417548</v>
      </c>
      <c r="AH8" s="42">
        <v>346053797</v>
      </c>
      <c r="AI8" s="21"/>
    </row>
    <row r="9" spans="2:35" x14ac:dyDescent="0.2">
      <c r="B9" s="29"/>
      <c r="C9" s="23"/>
      <c r="D9" s="41" t="s">
        <v>14</v>
      </c>
      <c r="E9" s="40">
        <v>2784832</v>
      </c>
      <c r="F9" s="40">
        <v>483483</v>
      </c>
      <c r="G9" s="40">
        <v>577646</v>
      </c>
      <c r="H9" s="40">
        <v>626938</v>
      </c>
      <c r="I9" s="40">
        <v>593711</v>
      </c>
      <c r="J9" s="40">
        <v>607343</v>
      </c>
      <c r="K9" s="20"/>
      <c r="L9" s="20"/>
      <c r="M9" s="40">
        <v>16246360</v>
      </c>
      <c r="N9" s="40">
        <v>4807808</v>
      </c>
      <c r="O9" s="40">
        <v>5158182</v>
      </c>
      <c r="P9" s="40">
        <v>3132219</v>
      </c>
      <c r="Q9" s="40">
        <v>3326383</v>
      </c>
      <c r="R9" s="40">
        <v>3418548</v>
      </c>
      <c r="S9" s="20"/>
      <c r="T9" s="20"/>
      <c r="U9" s="40">
        <v>134718759</v>
      </c>
      <c r="V9" s="40">
        <v>47707314</v>
      </c>
      <c r="W9" s="40">
        <v>29871209</v>
      </c>
      <c r="X9" s="40">
        <v>31379984</v>
      </c>
      <c r="Y9" s="40">
        <v>30240168</v>
      </c>
      <c r="Z9" s="40">
        <v>35554519</v>
      </c>
      <c r="AA9" s="20"/>
      <c r="AB9" s="20"/>
      <c r="AC9" s="40">
        <v>1394830982</v>
      </c>
      <c r="AD9" s="40">
        <v>623361584</v>
      </c>
      <c r="AE9" s="40">
        <v>328514678</v>
      </c>
      <c r="AF9" s="40">
        <v>328187565</v>
      </c>
      <c r="AG9" s="40">
        <v>329267455</v>
      </c>
      <c r="AH9" s="42">
        <v>380935452</v>
      </c>
      <c r="AI9" s="21"/>
    </row>
    <row r="10" spans="2:35" x14ac:dyDescent="0.2">
      <c r="B10" s="29"/>
      <c r="C10" s="23"/>
      <c r="D10" s="41" t="s">
        <v>15</v>
      </c>
      <c r="E10" s="40">
        <v>2789550</v>
      </c>
      <c r="F10" s="40">
        <v>460618</v>
      </c>
      <c r="G10" s="40">
        <v>583877</v>
      </c>
      <c r="H10" s="40">
        <v>594682</v>
      </c>
      <c r="I10" s="40">
        <v>621440</v>
      </c>
      <c r="J10" s="40">
        <v>606375</v>
      </c>
      <c r="K10" s="20"/>
      <c r="L10" s="20"/>
      <c r="M10" s="40">
        <v>19226239</v>
      </c>
      <c r="N10" s="40">
        <v>4913579</v>
      </c>
      <c r="O10" s="40">
        <v>5192374</v>
      </c>
      <c r="P10" s="40">
        <v>3599283</v>
      </c>
      <c r="Q10" s="40">
        <v>3311203</v>
      </c>
      <c r="R10" s="40">
        <v>3202772</v>
      </c>
      <c r="S10" s="20"/>
      <c r="T10" s="20"/>
      <c r="U10" s="40">
        <v>140655429</v>
      </c>
      <c r="V10" s="40">
        <v>50318569</v>
      </c>
      <c r="W10" s="40">
        <v>30230428</v>
      </c>
      <c r="X10" s="40">
        <v>30622698</v>
      </c>
      <c r="Y10" s="40">
        <v>27686442</v>
      </c>
      <c r="Z10" s="40">
        <v>32995844</v>
      </c>
      <c r="AA10" s="20"/>
      <c r="AB10" s="20"/>
      <c r="AC10" s="40">
        <v>1527115267</v>
      </c>
      <c r="AD10" s="40">
        <v>619353956</v>
      </c>
      <c r="AE10" s="40">
        <v>325823436</v>
      </c>
      <c r="AF10" s="40">
        <v>332846436</v>
      </c>
      <c r="AG10" s="40">
        <v>775041915</v>
      </c>
      <c r="AH10" s="42">
        <v>358467048</v>
      </c>
      <c r="AI10" s="21"/>
    </row>
    <row r="11" spans="2:35" x14ac:dyDescent="0.2">
      <c r="B11" s="29"/>
      <c r="C11" s="23"/>
      <c r="D11" s="41" t="s">
        <v>16</v>
      </c>
      <c r="E11" s="40">
        <v>2612849</v>
      </c>
      <c r="F11" s="40">
        <v>461879</v>
      </c>
      <c r="G11" s="40">
        <v>630145</v>
      </c>
      <c r="H11" s="40">
        <v>604357</v>
      </c>
      <c r="I11" s="40">
        <v>626076</v>
      </c>
      <c r="J11" s="40">
        <v>605336</v>
      </c>
      <c r="K11" s="20"/>
      <c r="L11" s="20"/>
      <c r="M11" s="40">
        <v>18347904</v>
      </c>
      <c r="N11" s="40">
        <v>4828107</v>
      </c>
      <c r="O11" s="40">
        <v>4038779</v>
      </c>
      <c r="P11" s="40">
        <v>3480266</v>
      </c>
      <c r="Q11" s="40">
        <v>3467065</v>
      </c>
      <c r="R11" s="40">
        <v>3360839</v>
      </c>
      <c r="S11" s="20"/>
      <c r="T11" s="20"/>
      <c r="U11" s="40">
        <v>154317537</v>
      </c>
      <c r="V11" s="40">
        <v>55241546</v>
      </c>
      <c r="W11" s="40">
        <v>33272140</v>
      </c>
      <c r="X11" s="40">
        <v>31690988</v>
      </c>
      <c r="Y11" s="40">
        <v>31250189</v>
      </c>
      <c r="Z11" s="40">
        <v>32409585</v>
      </c>
      <c r="AA11" s="20"/>
      <c r="AB11" s="20"/>
      <c r="AC11" s="40">
        <v>1369086120</v>
      </c>
      <c r="AD11" s="40">
        <v>620953276</v>
      </c>
      <c r="AE11" s="40">
        <v>323745739</v>
      </c>
      <c r="AF11" s="40">
        <v>324271951</v>
      </c>
      <c r="AG11" s="40">
        <v>970107250</v>
      </c>
      <c r="AH11" s="42">
        <v>348296807</v>
      </c>
      <c r="AI11" s="21"/>
    </row>
    <row r="12" spans="2:35" x14ac:dyDescent="0.2">
      <c r="B12" s="29"/>
      <c r="C12" s="23"/>
      <c r="D12" s="41" t="s">
        <v>17</v>
      </c>
      <c r="E12" s="40">
        <v>2792509</v>
      </c>
      <c r="F12" s="40">
        <v>470572</v>
      </c>
      <c r="G12" s="40">
        <v>600739</v>
      </c>
      <c r="H12" s="40">
        <v>603589</v>
      </c>
      <c r="I12" s="40">
        <v>612095</v>
      </c>
      <c r="J12" s="40">
        <v>610330</v>
      </c>
      <c r="K12" s="20"/>
      <c r="L12" s="20"/>
      <c r="M12" s="40">
        <v>16246369</v>
      </c>
      <c r="N12" s="40">
        <v>4870691</v>
      </c>
      <c r="O12" s="40">
        <v>5114877</v>
      </c>
      <c r="P12" s="40">
        <v>3555456</v>
      </c>
      <c r="Q12" s="40">
        <v>3277162</v>
      </c>
      <c r="R12" s="40">
        <v>3343604</v>
      </c>
      <c r="S12" s="20"/>
      <c r="T12" s="20"/>
      <c r="U12" s="40">
        <v>157903333</v>
      </c>
      <c r="V12" s="40">
        <v>55296037</v>
      </c>
      <c r="W12" s="40">
        <v>30920192</v>
      </c>
      <c r="X12" s="40">
        <v>32982177</v>
      </c>
      <c r="Y12" s="40">
        <v>29012757</v>
      </c>
      <c r="Z12" s="40">
        <v>32545359</v>
      </c>
      <c r="AA12" s="20"/>
      <c r="AB12" s="20"/>
      <c r="AC12" s="40">
        <v>1375817016</v>
      </c>
      <c r="AD12" s="40">
        <v>622336876</v>
      </c>
      <c r="AE12" s="40">
        <v>323164738</v>
      </c>
      <c r="AF12" s="40">
        <v>326793269</v>
      </c>
      <c r="AG12" s="40">
        <v>454934254</v>
      </c>
      <c r="AH12" s="42">
        <v>349171326</v>
      </c>
      <c r="AI12" s="21"/>
    </row>
    <row r="13" spans="2:35" x14ac:dyDescent="0.2">
      <c r="B13" s="29"/>
      <c r="C13" s="23"/>
      <c r="D13" s="41" t="s">
        <v>18</v>
      </c>
      <c r="E13" s="40">
        <v>2668842</v>
      </c>
      <c r="F13" s="40">
        <v>457707</v>
      </c>
      <c r="G13" s="40">
        <v>595457</v>
      </c>
      <c r="H13" s="40">
        <v>594067</v>
      </c>
      <c r="I13" s="40">
        <v>604633</v>
      </c>
      <c r="J13" s="40">
        <v>601050</v>
      </c>
      <c r="K13" s="20"/>
      <c r="L13" s="20"/>
      <c r="M13" s="40">
        <v>18702060</v>
      </c>
      <c r="N13" s="40">
        <v>4916959</v>
      </c>
      <c r="O13" s="40">
        <v>5217396</v>
      </c>
      <c r="P13" s="40">
        <v>3520811</v>
      </c>
      <c r="Q13" s="40">
        <v>3383202</v>
      </c>
      <c r="R13" s="40">
        <v>3186078</v>
      </c>
      <c r="S13" s="20"/>
      <c r="T13" s="20"/>
      <c r="U13" s="40">
        <v>153326880</v>
      </c>
      <c r="V13" s="40">
        <v>52809419</v>
      </c>
      <c r="W13" s="40">
        <v>30535241</v>
      </c>
      <c r="X13" s="40">
        <v>32890823</v>
      </c>
      <c r="Y13" s="40">
        <v>30447028</v>
      </c>
      <c r="Z13" s="40">
        <v>32142016</v>
      </c>
      <c r="AA13" s="20"/>
      <c r="AB13" s="20"/>
      <c r="AC13" s="40">
        <v>1346218796</v>
      </c>
      <c r="AD13" s="40">
        <v>630040269</v>
      </c>
      <c r="AE13" s="40">
        <v>318802666</v>
      </c>
      <c r="AF13" s="40">
        <v>332655699</v>
      </c>
      <c r="AG13" s="40">
        <v>412672091</v>
      </c>
      <c r="AH13" s="42">
        <v>351017337</v>
      </c>
      <c r="AI13" s="21"/>
    </row>
    <row r="14" spans="2:35" x14ac:dyDescent="0.2">
      <c r="B14" s="29"/>
      <c r="C14" s="23"/>
      <c r="D14" s="41" t="s">
        <v>19</v>
      </c>
      <c r="E14" s="40">
        <v>2851784</v>
      </c>
      <c r="F14" s="40">
        <v>469621</v>
      </c>
      <c r="G14" s="40">
        <v>721810</v>
      </c>
      <c r="H14" s="40">
        <v>609070</v>
      </c>
      <c r="I14" s="40">
        <v>615551</v>
      </c>
      <c r="J14" s="40">
        <v>618788</v>
      </c>
      <c r="K14" s="20"/>
      <c r="L14" s="20"/>
      <c r="M14" s="40">
        <v>21005448</v>
      </c>
      <c r="N14" s="40">
        <v>4826244</v>
      </c>
      <c r="O14" s="40">
        <v>5123294</v>
      </c>
      <c r="P14" s="40">
        <v>3569349</v>
      </c>
      <c r="Q14" s="40">
        <v>3281618</v>
      </c>
      <c r="R14" s="40">
        <v>3403617</v>
      </c>
      <c r="S14" s="20"/>
      <c r="T14" s="20"/>
      <c r="U14" s="40">
        <v>146583865</v>
      </c>
      <c r="V14" s="40">
        <v>53177286</v>
      </c>
      <c r="W14" s="40">
        <v>29342214</v>
      </c>
      <c r="X14" s="40">
        <v>32088660</v>
      </c>
      <c r="Y14" s="40">
        <v>30784880</v>
      </c>
      <c r="Z14" s="40">
        <v>33261102</v>
      </c>
      <c r="AA14" s="20"/>
      <c r="AB14" s="20"/>
      <c r="AC14" s="40">
        <v>1386397217</v>
      </c>
      <c r="AD14" s="40">
        <v>636228171</v>
      </c>
      <c r="AE14" s="40">
        <v>324594636</v>
      </c>
      <c r="AF14" s="40">
        <v>331682251</v>
      </c>
      <c r="AG14" s="40">
        <v>398582519</v>
      </c>
      <c r="AH14" s="42">
        <v>347715839</v>
      </c>
      <c r="AI14" s="21"/>
    </row>
    <row r="15" spans="2:35" x14ac:dyDescent="0.2">
      <c r="B15" s="29"/>
      <c r="C15" s="23"/>
      <c r="D15" s="41" t="s">
        <v>20</v>
      </c>
      <c r="E15" s="40">
        <v>2516457</v>
      </c>
      <c r="F15" s="40">
        <v>475965</v>
      </c>
      <c r="G15" s="40">
        <v>620295</v>
      </c>
      <c r="H15" s="40">
        <v>606921</v>
      </c>
      <c r="I15" s="40">
        <v>601676</v>
      </c>
      <c r="J15" s="40">
        <v>638167</v>
      </c>
      <c r="K15" s="20"/>
      <c r="L15" s="20"/>
      <c r="M15" s="40">
        <v>18932940</v>
      </c>
      <c r="N15" s="40">
        <v>4815571</v>
      </c>
      <c r="O15" s="40">
        <v>4743367</v>
      </c>
      <c r="P15" s="40">
        <v>3519354</v>
      </c>
      <c r="Q15" s="40">
        <v>3503143</v>
      </c>
      <c r="R15" s="40">
        <v>3230677</v>
      </c>
      <c r="S15" s="20"/>
      <c r="T15" s="20"/>
      <c r="U15" s="40">
        <v>150165074</v>
      </c>
      <c r="V15" s="40">
        <v>56810017</v>
      </c>
      <c r="W15" s="40">
        <v>28235033</v>
      </c>
      <c r="X15" s="40">
        <v>31551664</v>
      </c>
      <c r="Y15" s="40">
        <v>28001480</v>
      </c>
      <c r="Z15" s="40">
        <v>32926288</v>
      </c>
      <c r="AA15" s="20"/>
      <c r="AB15" s="20"/>
      <c r="AC15" s="40">
        <v>1438991307</v>
      </c>
      <c r="AD15" s="40">
        <v>620492123</v>
      </c>
      <c r="AE15" s="40">
        <v>320512993</v>
      </c>
      <c r="AF15" s="40">
        <v>329165207</v>
      </c>
      <c r="AG15" s="40">
        <v>409201312</v>
      </c>
      <c r="AH15" s="42">
        <v>348342809</v>
      </c>
      <c r="AI15" s="21"/>
    </row>
    <row r="16" spans="2:35" x14ac:dyDescent="0.2">
      <c r="B16" s="29"/>
      <c r="C16" s="23"/>
      <c r="D16" s="41" t="s">
        <v>21</v>
      </c>
      <c r="E16" s="40">
        <v>2735042</v>
      </c>
      <c r="F16" s="40">
        <v>459632</v>
      </c>
      <c r="G16" s="40">
        <v>606887</v>
      </c>
      <c r="H16" s="40">
        <v>609766</v>
      </c>
      <c r="I16" s="40">
        <v>693455</v>
      </c>
      <c r="J16" s="40">
        <v>612513</v>
      </c>
      <c r="K16" s="20"/>
      <c r="L16" s="20"/>
      <c r="M16" s="40">
        <v>19698094</v>
      </c>
      <c r="N16" s="40">
        <v>4967397</v>
      </c>
      <c r="O16" s="40">
        <v>4256760</v>
      </c>
      <c r="P16" s="40">
        <v>3611459</v>
      </c>
      <c r="Q16" s="40">
        <v>3391440</v>
      </c>
      <c r="R16" s="40">
        <v>3363862</v>
      </c>
      <c r="S16" s="20"/>
      <c r="T16" s="20"/>
      <c r="U16" s="40">
        <v>144143490</v>
      </c>
      <c r="V16" s="40">
        <v>54340802</v>
      </c>
      <c r="W16" s="40">
        <v>30948443</v>
      </c>
      <c r="X16" s="40">
        <v>30236027</v>
      </c>
      <c r="Y16" s="40">
        <v>31305792</v>
      </c>
      <c r="Z16" s="40">
        <v>34967429</v>
      </c>
      <c r="AA16" s="20"/>
      <c r="AB16" s="20"/>
      <c r="AC16" s="40">
        <v>1511631661</v>
      </c>
      <c r="AD16" s="40">
        <v>630519489</v>
      </c>
      <c r="AE16" s="40">
        <v>318424869</v>
      </c>
      <c r="AF16" s="40">
        <v>325735103</v>
      </c>
      <c r="AG16" s="40">
        <v>384172290</v>
      </c>
      <c r="AH16" s="42">
        <v>349541850</v>
      </c>
      <c r="AI16" s="21"/>
    </row>
    <row r="17" spans="2:35" x14ac:dyDescent="0.2">
      <c r="B17" s="29"/>
      <c r="C17" s="23"/>
      <c r="D17" s="41" t="s">
        <v>22</v>
      </c>
      <c r="E17" s="40">
        <v>2655058</v>
      </c>
      <c r="F17" s="40">
        <v>478533</v>
      </c>
      <c r="G17" s="40">
        <v>591539</v>
      </c>
      <c r="H17" s="40">
        <v>596778</v>
      </c>
      <c r="I17" s="40">
        <v>1416074</v>
      </c>
      <c r="J17" s="40">
        <v>585434</v>
      </c>
      <c r="K17" s="20"/>
      <c r="L17" s="20"/>
      <c r="M17" s="40">
        <v>21198496</v>
      </c>
      <c r="N17" s="40">
        <v>4817618</v>
      </c>
      <c r="O17" s="40">
        <v>4693610</v>
      </c>
      <c r="P17" s="40">
        <v>3729476</v>
      </c>
      <c r="Q17" s="40">
        <v>3456854</v>
      </c>
      <c r="R17" s="40">
        <v>3354345</v>
      </c>
      <c r="S17" s="20"/>
      <c r="T17" s="20"/>
      <c r="U17" s="40">
        <v>145066623</v>
      </c>
      <c r="V17" s="40">
        <v>51974953</v>
      </c>
      <c r="W17" s="40">
        <v>30552988</v>
      </c>
      <c r="X17" s="40">
        <v>32156996</v>
      </c>
      <c r="Y17" s="40">
        <v>32385103</v>
      </c>
      <c r="Z17" s="40">
        <v>33997172</v>
      </c>
      <c r="AA17" s="20"/>
      <c r="AB17" s="20"/>
      <c r="AC17" s="40">
        <v>1327236889</v>
      </c>
      <c r="AD17" s="40">
        <v>623481041</v>
      </c>
      <c r="AE17" s="40">
        <v>316908142</v>
      </c>
      <c r="AF17" s="40">
        <v>331495872</v>
      </c>
      <c r="AG17" s="40">
        <v>348207087</v>
      </c>
      <c r="AH17" s="42">
        <v>347386656</v>
      </c>
      <c r="AI17" s="21"/>
    </row>
    <row r="18" spans="2:35" x14ac:dyDescent="0.2">
      <c r="B18" s="29"/>
      <c r="C18" s="23"/>
      <c r="D18" s="41" t="s">
        <v>23</v>
      </c>
      <c r="E18" s="40">
        <v>2561634</v>
      </c>
      <c r="F18" s="40">
        <v>486507</v>
      </c>
      <c r="G18" s="40">
        <v>618152</v>
      </c>
      <c r="H18" s="40">
        <v>646635</v>
      </c>
      <c r="I18" s="40">
        <v>1365763</v>
      </c>
      <c r="J18" s="40">
        <v>606897</v>
      </c>
      <c r="K18" s="20"/>
      <c r="L18" s="20"/>
      <c r="M18" s="40">
        <v>15379530</v>
      </c>
      <c r="N18" s="40">
        <v>4878086</v>
      </c>
      <c r="O18" s="40">
        <v>5077953</v>
      </c>
      <c r="P18" s="40">
        <v>3660774</v>
      </c>
      <c r="Q18" s="40">
        <v>3404119</v>
      </c>
      <c r="R18" s="40">
        <v>3360828</v>
      </c>
      <c r="S18" s="20"/>
      <c r="T18" s="20"/>
      <c r="U18" s="40">
        <v>130667762</v>
      </c>
      <c r="V18" s="40">
        <v>50410659</v>
      </c>
      <c r="W18" s="40">
        <v>30771099</v>
      </c>
      <c r="X18" s="40">
        <v>32069987</v>
      </c>
      <c r="Y18" s="40">
        <v>30813288</v>
      </c>
      <c r="Z18" s="40">
        <v>32784689</v>
      </c>
      <c r="AA18" s="20"/>
      <c r="AB18" s="20"/>
      <c r="AC18" s="40">
        <v>1417442119</v>
      </c>
      <c r="AD18" s="40">
        <v>665965410</v>
      </c>
      <c r="AE18" s="40">
        <v>328250456</v>
      </c>
      <c r="AF18" s="40">
        <v>332549933</v>
      </c>
      <c r="AG18" s="40">
        <v>362044139</v>
      </c>
      <c r="AH18" s="42">
        <v>350660713</v>
      </c>
      <c r="AI18" s="21"/>
    </row>
    <row r="19" spans="2:35" x14ac:dyDescent="0.2">
      <c r="B19" s="29"/>
      <c r="C19" s="23"/>
      <c r="D19" s="41" t="s">
        <v>24</v>
      </c>
      <c r="E19" s="40">
        <v>2599339</v>
      </c>
      <c r="F19" s="40">
        <v>468783</v>
      </c>
      <c r="G19" s="40">
        <v>603708</v>
      </c>
      <c r="H19" s="40">
        <v>603217</v>
      </c>
      <c r="I19" s="40">
        <v>946853</v>
      </c>
      <c r="J19" s="40">
        <v>637046</v>
      </c>
      <c r="K19" s="20"/>
      <c r="L19" s="20"/>
      <c r="M19" s="40">
        <v>18931960</v>
      </c>
      <c r="N19" s="40">
        <v>4909197</v>
      </c>
      <c r="O19" s="40">
        <v>5074600</v>
      </c>
      <c r="P19" s="40">
        <v>3118428</v>
      </c>
      <c r="Q19" s="40">
        <v>3453354</v>
      </c>
      <c r="R19" s="40">
        <v>3360194</v>
      </c>
      <c r="S19" s="20"/>
      <c r="T19" s="20"/>
      <c r="U19" s="40">
        <v>131611365</v>
      </c>
      <c r="V19" s="40">
        <v>52515342</v>
      </c>
      <c r="W19" s="40">
        <v>28806784</v>
      </c>
      <c r="X19" s="40">
        <v>29697553</v>
      </c>
      <c r="Y19" s="40">
        <v>31940070</v>
      </c>
      <c r="Z19" s="40">
        <v>31286843</v>
      </c>
      <c r="AA19" s="20"/>
      <c r="AB19" s="20"/>
      <c r="AC19" s="40">
        <v>1404753327</v>
      </c>
      <c r="AD19" s="40">
        <v>628768777</v>
      </c>
      <c r="AE19" s="40">
        <v>314811076</v>
      </c>
      <c r="AF19" s="40">
        <v>349175763</v>
      </c>
      <c r="AG19" s="40">
        <v>370639113</v>
      </c>
      <c r="AH19" s="42">
        <v>358646578</v>
      </c>
      <c r="AI19" s="21"/>
    </row>
    <row r="20" spans="2:35" x14ac:dyDescent="0.2">
      <c r="B20" s="29"/>
      <c r="C20" s="23"/>
      <c r="D20" s="41" t="s">
        <v>25</v>
      </c>
      <c r="E20" s="40">
        <v>2532146</v>
      </c>
      <c r="F20" s="40">
        <v>466698</v>
      </c>
      <c r="G20" s="40">
        <v>589435</v>
      </c>
      <c r="H20" s="40">
        <v>615650</v>
      </c>
      <c r="I20" s="40">
        <v>875620</v>
      </c>
      <c r="J20" s="40">
        <v>599749</v>
      </c>
      <c r="K20" s="20"/>
      <c r="L20" s="20"/>
      <c r="M20" s="40">
        <v>18195921</v>
      </c>
      <c r="N20" s="40">
        <v>4741377</v>
      </c>
      <c r="O20" s="40">
        <v>5196856</v>
      </c>
      <c r="P20" s="40">
        <v>3651088</v>
      </c>
      <c r="Q20" s="40">
        <v>3284799</v>
      </c>
      <c r="R20" s="40">
        <v>3205904</v>
      </c>
      <c r="S20" s="20"/>
      <c r="T20" s="20"/>
      <c r="U20" s="40">
        <v>146008587</v>
      </c>
      <c r="V20" s="40">
        <v>53579223</v>
      </c>
      <c r="W20" s="40">
        <v>30915938</v>
      </c>
      <c r="X20" s="40">
        <v>30938089</v>
      </c>
      <c r="Y20" s="40">
        <v>31115662</v>
      </c>
      <c r="Z20" s="40">
        <v>32129973</v>
      </c>
      <c r="AA20" s="20"/>
      <c r="AB20" s="20"/>
      <c r="AC20" s="40">
        <v>1356271692</v>
      </c>
      <c r="AD20" s="40">
        <v>636319185</v>
      </c>
      <c r="AE20" s="40">
        <v>322582535</v>
      </c>
      <c r="AF20" s="40">
        <v>340084617</v>
      </c>
      <c r="AG20" s="40">
        <v>333348983</v>
      </c>
      <c r="AH20" s="42">
        <v>346869128</v>
      </c>
      <c r="AI20" s="21"/>
    </row>
    <row r="21" spans="2:35" x14ac:dyDescent="0.2">
      <c r="B21" s="29"/>
      <c r="C21" s="23"/>
      <c r="D21" s="41" t="s">
        <v>26</v>
      </c>
      <c r="E21" s="40">
        <v>2703768</v>
      </c>
      <c r="F21" s="40">
        <v>469332</v>
      </c>
      <c r="G21" s="40">
        <v>677341</v>
      </c>
      <c r="H21" s="40">
        <v>618796</v>
      </c>
      <c r="I21" s="40">
        <v>1126670</v>
      </c>
      <c r="J21" s="40">
        <v>608881</v>
      </c>
      <c r="K21" s="20"/>
      <c r="L21" s="20"/>
      <c r="M21" s="40">
        <v>16419099</v>
      </c>
      <c r="N21" s="40">
        <v>4871267</v>
      </c>
      <c r="O21" s="40">
        <v>3676779</v>
      </c>
      <c r="P21" s="40">
        <v>3629339</v>
      </c>
      <c r="Q21" s="40">
        <v>3382859</v>
      </c>
      <c r="R21" s="40">
        <v>3373668</v>
      </c>
      <c r="S21" s="20"/>
      <c r="T21" s="20"/>
      <c r="U21" s="40">
        <v>139972557</v>
      </c>
      <c r="V21" s="40">
        <v>51907564</v>
      </c>
      <c r="W21" s="40">
        <v>30773716</v>
      </c>
      <c r="X21" s="40">
        <v>31944515</v>
      </c>
      <c r="Y21" s="40">
        <v>31323162</v>
      </c>
      <c r="Z21" s="40">
        <v>31382057</v>
      </c>
      <c r="AA21" s="20"/>
      <c r="AB21" s="20"/>
      <c r="AC21" s="40">
        <v>1374101411</v>
      </c>
      <c r="AD21" s="40">
        <v>616098646</v>
      </c>
      <c r="AE21" s="40">
        <v>323564798</v>
      </c>
      <c r="AF21" s="40">
        <v>326029663</v>
      </c>
      <c r="AG21" s="40">
        <v>333767031</v>
      </c>
      <c r="AH21" s="42">
        <v>343291277</v>
      </c>
      <c r="AI21" s="21"/>
    </row>
    <row r="22" spans="2:35" x14ac:dyDescent="0.2">
      <c r="B22" s="29"/>
      <c r="C22" s="23"/>
      <c r="D22" s="41" t="s">
        <v>27</v>
      </c>
      <c r="E22" s="40">
        <v>2506503</v>
      </c>
      <c r="F22" s="40">
        <v>468657</v>
      </c>
      <c r="G22" s="40">
        <v>602897</v>
      </c>
      <c r="H22" s="40">
        <v>591124</v>
      </c>
      <c r="I22" s="40">
        <v>1070412</v>
      </c>
      <c r="J22" s="40">
        <v>614366</v>
      </c>
      <c r="K22" s="20"/>
      <c r="L22" s="20"/>
      <c r="M22" s="40">
        <v>19040793</v>
      </c>
      <c r="N22" s="40">
        <v>4833298</v>
      </c>
      <c r="O22" s="40">
        <v>5277978</v>
      </c>
      <c r="P22" s="40">
        <v>3533091</v>
      </c>
      <c r="Q22" s="40">
        <v>3414251</v>
      </c>
      <c r="R22" s="40">
        <v>3237008</v>
      </c>
      <c r="S22" s="20"/>
      <c r="T22" s="20"/>
      <c r="U22" s="40">
        <v>130741819</v>
      </c>
      <c r="V22" s="40">
        <v>50799285</v>
      </c>
      <c r="W22" s="40">
        <v>32498327</v>
      </c>
      <c r="X22" s="40">
        <v>30857725</v>
      </c>
      <c r="Y22" s="40">
        <v>30245963</v>
      </c>
      <c r="Z22" s="40">
        <v>31829425</v>
      </c>
      <c r="AA22" s="20"/>
      <c r="AB22" s="20"/>
      <c r="AC22" s="40">
        <v>1544489915</v>
      </c>
      <c r="AD22" s="40">
        <v>627860986</v>
      </c>
      <c r="AE22" s="40">
        <v>325912225</v>
      </c>
      <c r="AF22" s="40">
        <v>362886607</v>
      </c>
      <c r="AG22" s="40">
        <v>335858140</v>
      </c>
      <c r="AH22" s="42">
        <v>354715841</v>
      </c>
      <c r="AI22" s="21"/>
    </row>
    <row r="23" spans="2:35" x14ac:dyDescent="0.2">
      <c r="B23" s="29"/>
      <c r="C23" s="23"/>
      <c r="D23" s="41" t="s">
        <v>28</v>
      </c>
      <c r="E23" s="40">
        <v>2710070</v>
      </c>
      <c r="F23" s="40">
        <v>474764</v>
      </c>
      <c r="G23" s="40">
        <v>593287</v>
      </c>
      <c r="H23" s="40">
        <v>646344</v>
      </c>
      <c r="I23" s="40">
        <v>736663</v>
      </c>
      <c r="J23" s="40">
        <v>606161</v>
      </c>
      <c r="K23" s="20"/>
      <c r="L23" s="20"/>
      <c r="M23" s="40">
        <v>21390805</v>
      </c>
      <c r="N23" s="40">
        <v>4876836</v>
      </c>
      <c r="O23" s="40">
        <v>5198945</v>
      </c>
      <c r="P23" s="40">
        <v>3621145</v>
      </c>
      <c r="Q23" s="40">
        <v>3382312</v>
      </c>
      <c r="R23" s="40">
        <v>3439860</v>
      </c>
      <c r="S23" s="20"/>
      <c r="T23" s="20"/>
      <c r="U23" s="40">
        <v>145096941</v>
      </c>
      <c r="V23" s="40">
        <v>52820798</v>
      </c>
      <c r="W23" s="40">
        <v>32320755</v>
      </c>
      <c r="X23" s="40">
        <v>30820217</v>
      </c>
      <c r="Y23" s="40">
        <v>31499090</v>
      </c>
      <c r="Z23" s="40">
        <v>32386335</v>
      </c>
      <c r="AA23" s="20"/>
      <c r="AB23" s="20"/>
      <c r="AC23" s="40">
        <v>1439770547</v>
      </c>
      <c r="AD23" s="40">
        <v>620929731</v>
      </c>
      <c r="AE23" s="40">
        <v>329926261</v>
      </c>
      <c r="AF23" s="40">
        <v>343342218</v>
      </c>
      <c r="AG23" s="40">
        <v>332400162</v>
      </c>
      <c r="AH23" s="42">
        <v>353868957</v>
      </c>
      <c r="AI23" s="21"/>
    </row>
    <row r="24" spans="2:35" x14ac:dyDescent="0.2">
      <c r="B24" s="29"/>
      <c r="C24" s="23"/>
      <c r="D24" s="41" t="s">
        <v>29</v>
      </c>
      <c r="E24" s="40">
        <v>2575394</v>
      </c>
      <c r="F24" s="40">
        <v>469476</v>
      </c>
      <c r="G24" s="40">
        <v>612125</v>
      </c>
      <c r="H24" s="40">
        <v>572036</v>
      </c>
      <c r="I24" s="40">
        <v>758762</v>
      </c>
      <c r="J24" s="40">
        <v>642431</v>
      </c>
      <c r="K24" s="20"/>
      <c r="L24" s="20"/>
      <c r="M24" s="40">
        <v>20165841</v>
      </c>
      <c r="N24" s="40">
        <v>4891267</v>
      </c>
      <c r="O24" s="40">
        <v>5242066</v>
      </c>
      <c r="P24" s="40">
        <v>3738217</v>
      </c>
      <c r="Q24" s="40">
        <v>3290695</v>
      </c>
      <c r="R24" s="40">
        <v>3239938</v>
      </c>
      <c r="S24" s="20"/>
      <c r="T24" s="20"/>
      <c r="U24" s="40">
        <v>141717508</v>
      </c>
      <c r="V24" s="40">
        <v>50117733</v>
      </c>
      <c r="W24" s="40">
        <v>31694003</v>
      </c>
      <c r="X24" s="40">
        <v>31789638</v>
      </c>
      <c r="Y24" s="40">
        <v>30806295</v>
      </c>
      <c r="Z24" s="40">
        <v>32465155</v>
      </c>
      <c r="AA24" s="20"/>
      <c r="AB24" s="20"/>
      <c r="AC24" s="40">
        <v>1313465676</v>
      </c>
      <c r="AD24" s="40">
        <v>636924729</v>
      </c>
      <c r="AE24" s="40">
        <v>318606107</v>
      </c>
      <c r="AF24" s="40">
        <v>329795825</v>
      </c>
      <c r="AG24" s="40">
        <v>339795799</v>
      </c>
      <c r="AH24" s="42">
        <v>351369624</v>
      </c>
      <c r="AI24" s="21"/>
    </row>
    <row r="25" spans="2:35" x14ac:dyDescent="0.2">
      <c r="B25" s="29"/>
      <c r="C25" s="23"/>
      <c r="D25" s="41" t="s">
        <v>30</v>
      </c>
      <c r="E25" s="40">
        <v>2742779</v>
      </c>
      <c r="F25" s="40">
        <v>483913</v>
      </c>
      <c r="G25" s="40">
        <v>616497</v>
      </c>
      <c r="H25" s="40">
        <v>588163</v>
      </c>
      <c r="I25" s="40">
        <v>796804</v>
      </c>
      <c r="J25" s="40">
        <v>615405</v>
      </c>
      <c r="K25" s="20"/>
      <c r="L25" s="20"/>
      <c r="M25" s="40">
        <v>21383696</v>
      </c>
      <c r="N25" s="40">
        <v>4865172</v>
      </c>
      <c r="O25" s="40">
        <v>5250087</v>
      </c>
      <c r="P25" s="40">
        <v>3503667</v>
      </c>
      <c r="Q25" s="40">
        <v>3317947</v>
      </c>
      <c r="R25" s="40">
        <v>3512267</v>
      </c>
      <c r="S25" s="20"/>
      <c r="T25" s="20"/>
      <c r="U25" s="40">
        <v>147882868</v>
      </c>
      <c r="V25" s="40">
        <v>52498992</v>
      </c>
      <c r="W25" s="40">
        <v>31234856</v>
      </c>
      <c r="X25" s="40">
        <v>33401764</v>
      </c>
      <c r="Y25" s="40">
        <v>30973254</v>
      </c>
      <c r="Z25" s="40">
        <v>31602488</v>
      </c>
      <c r="AA25" s="20"/>
      <c r="AB25" s="20"/>
      <c r="AC25" s="40">
        <v>1445259654</v>
      </c>
      <c r="AD25" s="40">
        <v>621922814</v>
      </c>
      <c r="AE25" s="40">
        <v>332169185</v>
      </c>
      <c r="AF25" s="40">
        <v>329873438</v>
      </c>
      <c r="AG25" s="40">
        <v>369464461</v>
      </c>
      <c r="AH25" s="42">
        <v>349411218</v>
      </c>
      <c r="AI25" s="21"/>
    </row>
    <row r="26" spans="2:35" x14ac:dyDescent="0.2">
      <c r="B26" s="29"/>
      <c r="C26" s="23"/>
      <c r="D26" s="41" t="s">
        <v>31</v>
      </c>
      <c r="E26" s="40">
        <v>2634718</v>
      </c>
      <c r="F26" s="40">
        <v>482759</v>
      </c>
      <c r="G26" s="40">
        <v>640215</v>
      </c>
      <c r="H26" s="40">
        <v>597484</v>
      </c>
      <c r="I26" s="40">
        <v>786658</v>
      </c>
      <c r="J26" s="40">
        <v>592176</v>
      </c>
      <c r="K26" s="20"/>
      <c r="L26" s="20"/>
      <c r="M26" s="40">
        <v>17689888</v>
      </c>
      <c r="N26" s="40">
        <v>4807805</v>
      </c>
      <c r="O26" s="40">
        <v>5158651</v>
      </c>
      <c r="P26" s="40">
        <v>3481584</v>
      </c>
      <c r="Q26" s="40">
        <v>3432860</v>
      </c>
      <c r="R26" s="40">
        <v>3213820</v>
      </c>
      <c r="S26" s="20"/>
      <c r="T26" s="20"/>
      <c r="U26" s="40">
        <v>149257015</v>
      </c>
      <c r="V26" s="40">
        <v>52228229</v>
      </c>
      <c r="W26" s="40">
        <v>30611404</v>
      </c>
      <c r="X26" s="40">
        <v>30257736</v>
      </c>
      <c r="Y26" s="40">
        <v>31204504</v>
      </c>
      <c r="Z26" s="40">
        <v>32957811</v>
      </c>
      <c r="AA26" s="20"/>
      <c r="AB26" s="20"/>
      <c r="AC26" s="40">
        <v>1447835908</v>
      </c>
      <c r="AD26" s="40">
        <v>621027318</v>
      </c>
      <c r="AE26" s="40">
        <v>343397190</v>
      </c>
      <c r="AF26" s="40">
        <v>321627442</v>
      </c>
      <c r="AG26" s="40">
        <v>374461725</v>
      </c>
      <c r="AH26" s="42">
        <v>345469842</v>
      </c>
      <c r="AI26" s="21"/>
    </row>
    <row r="27" spans="2:35" x14ac:dyDescent="0.2">
      <c r="B27" s="29"/>
      <c r="C27" s="23"/>
      <c r="D27" s="41" t="s">
        <v>32</v>
      </c>
      <c r="E27" s="40">
        <v>2760425</v>
      </c>
      <c r="F27" s="40">
        <v>472252</v>
      </c>
      <c r="G27" s="40">
        <v>610996</v>
      </c>
      <c r="H27" s="40">
        <v>595254</v>
      </c>
      <c r="I27" s="40">
        <v>777054</v>
      </c>
      <c r="J27" s="40">
        <v>605836</v>
      </c>
      <c r="K27" s="20"/>
      <c r="L27" s="20"/>
      <c r="M27" s="40">
        <v>18030396</v>
      </c>
      <c r="N27" s="40">
        <v>4757840</v>
      </c>
      <c r="O27" s="40">
        <v>5100442</v>
      </c>
      <c r="P27" s="40">
        <v>3672362</v>
      </c>
      <c r="Q27" s="40">
        <v>3438045</v>
      </c>
      <c r="R27" s="40">
        <v>3311286</v>
      </c>
      <c r="S27" s="20"/>
      <c r="T27" s="20"/>
      <c r="U27" s="40">
        <v>144569019</v>
      </c>
      <c r="V27" s="40">
        <v>52426232</v>
      </c>
      <c r="W27" s="40">
        <v>30075714</v>
      </c>
      <c r="X27" s="40">
        <v>32319646</v>
      </c>
      <c r="Y27" s="40">
        <v>30599471</v>
      </c>
      <c r="Z27" s="40">
        <v>33739162</v>
      </c>
      <c r="AA27" s="20"/>
      <c r="AB27" s="20"/>
      <c r="AC27" s="40">
        <v>1467299170</v>
      </c>
      <c r="AD27" s="40">
        <v>624636307</v>
      </c>
      <c r="AE27" s="40">
        <v>353224286</v>
      </c>
      <c r="AF27" s="40">
        <v>327811423</v>
      </c>
      <c r="AG27" s="40">
        <v>365250756</v>
      </c>
      <c r="AH27" s="42">
        <v>349365350</v>
      </c>
      <c r="AI27" s="21"/>
    </row>
    <row r="28" spans="2:35" x14ac:dyDescent="0.2">
      <c r="B28" s="29"/>
      <c r="C28" s="23"/>
      <c r="D28" s="41" t="s">
        <v>33</v>
      </c>
      <c r="E28" s="40">
        <v>2989759</v>
      </c>
      <c r="F28" s="40">
        <v>464798</v>
      </c>
      <c r="G28" s="40">
        <v>591662</v>
      </c>
      <c r="H28" s="40">
        <v>613647</v>
      </c>
      <c r="I28" s="40">
        <v>767106</v>
      </c>
      <c r="J28" s="40">
        <v>594066</v>
      </c>
      <c r="K28" s="20"/>
      <c r="L28" s="20"/>
      <c r="M28" s="40">
        <v>18444477</v>
      </c>
      <c r="N28" s="40">
        <v>4776254</v>
      </c>
      <c r="O28" s="40">
        <v>3566133</v>
      </c>
      <c r="P28" s="40">
        <v>3775491</v>
      </c>
      <c r="Q28" s="40">
        <v>3486080</v>
      </c>
      <c r="R28" s="40">
        <v>3190923</v>
      </c>
      <c r="S28" s="20"/>
      <c r="T28" s="20"/>
      <c r="U28" s="40">
        <v>144559255</v>
      </c>
      <c r="V28" s="40">
        <v>52556429</v>
      </c>
      <c r="W28" s="40">
        <v>31931195</v>
      </c>
      <c r="X28" s="40">
        <v>30988103</v>
      </c>
      <c r="Y28" s="40">
        <v>31376773</v>
      </c>
      <c r="Z28" s="40">
        <v>34163528</v>
      </c>
      <c r="AA28" s="20"/>
      <c r="AB28" s="20"/>
      <c r="AC28" s="40">
        <v>1559059562</v>
      </c>
      <c r="AD28" s="40">
        <v>624038071</v>
      </c>
      <c r="AE28" s="40">
        <v>335980007</v>
      </c>
      <c r="AF28" s="40">
        <v>328020658</v>
      </c>
      <c r="AG28" s="40">
        <v>351285367</v>
      </c>
      <c r="AH28" s="42">
        <v>345254815</v>
      </c>
      <c r="AI28" s="21"/>
    </row>
    <row r="29" spans="2:35" x14ac:dyDescent="0.2">
      <c r="B29" s="29"/>
      <c r="C29" s="23"/>
      <c r="D29" s="41" t="s">
        <v>34</v>
      </c>
      <c r="E29" s="40">
        <v>2722519</v>
      </c>
      <c r="F29" s="40">
        <v>468889</v>
      </c>
      <c r="G29" s="40">
        <v>589177</v>
      </c>
      <c r="H29" s="40">
        <v>609709</v>
      </c>
      <c r="I29" s="40">
        <v>753333</v>
      </c>
      <c r="J29" s="40">
        <v>598582</v>
      </c>
      <c r="K29" s="20"/>
      <c r="L29" s="20"/>
      <c r="M29" s="40">
        <v>19043421</v>
      </c>
      <c r="N29" s="40">
        <v>4838322</v>
      </c>
      <c r="O29" s="40">
        <v>5183337</v>
      </c>
      <c r="P29" s="40">
        <v>3621008</v>
      </c>
      <c r="Q29" s="40">
        <v>3498920</v>
      </c>
      <c r="R29" s="40">
        <v>3343319</v>
      </c>
      <c r="S29" s="20"/>
      <c r="T29" s="20"/>
      <c r="U29" s="40">
        <v>125036327</v>
      </c>
      <c r="V29" s="40">
        <v>53741865</v>
      </c>
      <c r="W29" s="40">
        <v>30790721</v>
      </c>
      <c r="X29" s="40">
        <v>29553351</v>
      </c>
      <c r="Y29" s="40">
        <v>31835718</v>
      </c>
      <c r="Z29" s="40">
        <v>31810648</v>
      </c>
      <c r="AA29" s="20"/>
      <c r="AB29" s="20"/>
      <c r="AC29" s="40">
        <v>1443461431</v>
      </c>
      <c r="AD29" s="40">
        <v>632164771</v>
      </c>
      <c r="AE29" s="40">
        <v>318914901</v>
      </c>
      <c r="AF29" s="40">
        <v>324724475</v>
      </c>
      <c r="AG29" s="40">
        <v>350962524</v>
      </c>
      <c r="AH29" s="42">
        <v>348148090</v>
      </c>
      <c r="AI29" s="21"/>
    </row>
    <row r="30" spans="2:35" x14ac:dyDescent="0.2">
      <c r="B30" s="29"/>
      <c r="C30" s="23"/>
      <c r="D30" s="41" t="s">
        <v>35</v>
      </c>
      <c r="E30" s="40">
        <v>3087601</v>
      </c>
      <c r="F30" s="40">
        <v>480695</v>
      </c>
      <c r="G30" s="40">
        <v>634926</v>
      </c>
      <c r="H30" s="40">
        <v>614451</v>
      </c>
      <c r="I30" s="40">
        <v>807100</v>
      </c>
      <c r="J30" s="40">
        <v>607973</v>
      </c>
      <c r="K30" s="20"/>
      <c r="L30" s="20"/>
      <c r="M30" s="40">
        <v>18878550</v>
      </c>
      <c r="N30" s="40">
        <v>4826876</v>
      </c>
      <c r="O30" s="40">
        <v>5194358</v>
      </c>
      <c r="P30" s="40">
        <v>3663178</v>
      </c>
      <c r="Q30" s="40">
        <v>3597877</v>
      </c>
      <c r="R30" s="40">
        <v>3325031</v>
      </c>
      <c r="S30" s="20"/>
      <c r="T30" s="20"/>
      <c r="U30" s="40">
        <v>142078037</v>
      </c>
      <c r="V30" s="40">
        <v>50922976</v>
      </c>
      <c r="W30" s="40">
        <v>31905634</v>
      </c>
      <c r="X30" s="40">
        <v>32004855</v>
      </c>
      <c r="Y30" s="40">
        <v>30007894</v>
      </c>
      <c r="Z30" s="40">
        <v>33704041</v>
      </c>
      <c r="AA30" s="20"/>
      <c r="AB30" s="20"/>
      <c r="AC30" s="40">
        <v>1465546930</v>
      </c>
      <c r="AD30" s="40">
        <v>635131850</v>
      </c>
      <c r="AE30" s="40">
        <v>335969993</v>
      </c>
      <c r="AF30" s="40">
        <v>325852782</v>
      </c>
      <c r="AG30" s="40">
        <v>337834352</v>
      </c>
      <c r="AH30" s="42">
        <v>342586240</v>
      </c>
      <c r="AI30" s="21"/>
    </row>
    <row r="31" spans="2:35" x14ac:dyDescent="0.2">
      <c r="B31" s="29"/>
      <c r="C31" s="23"/>
      <c r="D31" s="41" t="s">
        <v>36</v>
      </c>
      <c r="E31" s="40">
        <v>2769292</v>
      </c>
      <c r="F31" s="40">
        <v>461036</v>
      </c>
      <c r="G31" s="40">
        <v>650343</v>
      </c>
      <c r="H31" s="40">
        <v>599713</v>
      </c>
      <c r="I31" s="40">
        <v>769403</v>
      </c>
      <c r="J31" s="40">
        <v>629189</v>
      </c>
      <c r="K31" s="20"/>
      <c r="L31" s="20"/>
      <c r="M31" s="40">
        <v>19418455</v>
      </c>
      <c r="N31" s="40">
        <v>4823231</v>
      </c>
      <c r="O31" s="40">
        <v>5223906</v>
      </c>
      <c r="P31" s="40">
        <v>3470955</v>
      </c>
      <c r="Q31" s="40">
        <v>3573668</v>
      </c>
      <c r="R31" s="40">
        <v>3343671</v>
      </c>
      <c r="S31" s="20"/>
      <c r="T31" s="20"/>
      <c r="U31" s="40">
        <v>134832414</v>
      </c>
      <c r="V31" s="40">
        <v>51225160</v>
      </c>
      <c r="W31" s="40">
        <v>29592076</v>
      </c>
      <c r="X31" s="40">
        <v>32760775</v>
      </c>
      <c r="Y31" s="40">
        <v>29683292</v>
      </c>
      <c r="Z31" s="40">
        <v>31064837</v>
      </c>
      <c r="AA31" s="20"/>
      <c r="AB31" s="20"/>
      <c r="AC31" s="40">
        <v>1427781887</v>
      </c>
      <c r="AD31" s="40">
        <v>633932874</v>
      </c>
      <c r="AE31" s="40">
        <v>322064484</v>
      </c>
      <c r="AF31" s="40">
        <v>334302563</v>
      </c>
      <c r="AG31" s="40">
        <v>335776433</v>
      </c>
      <c r="AH31" s="42">
        <v>347897862</v>
      </c>
      <c r="AI31" s="21"/>
    </row>
    <row r="32" spans="2:35" x14ac:dyDescent="0.2">
      <c r="B32" s="29"/>
      <c r="C32" s="23"/>
      <c r="D32" s="41" t="s">
        <v>37</v>
      </c>
      <c r="E32" s="40">
        <v>2722698</v>
      </c>
      <c r="F32" s="40">
        <v>481715</v>
      </c>
      <c r="G32" s="40">
        <v>598171</v>
      </c>
      <c r="H32" s="40">
        <v>587443</v>
      </c>
      <c r="I32" s="40">
        <v>793874</v>
      </c>
      <c r="J32" s="40">
        <v>646764</v>
      </c>
      <c r="K32" s="20"/>
      <c r="L32" s="20"/>
      <c r="M32" s="40">
        <v>18130598</v>
      </c>
      <c r="N32" s="40">
        <v>4841403</v>
      </c>
      <c r="O32" s="40">
        <v>5231540</v>
      </c>
      <c r="P32" s="40">
        <v>3700263</v>
      </c>
      <c r="Q32" s="40">
        <v>3566761</v>
      </c>
      <c r="R32" s="40">
        <v>3433208</v>
      </c>
      <c r="S32" s="20"/>
      <c r="T32" s="20"/>
      <c r="U32" s="40">
        <v>140673409</v>
      </c>
      <c r="V32" s="40">
        <v>53484356</v>
      </c>
      <c r="W32" s="40">
        <v>32422603</v>
      </c>
      <c r="X32" s="40">
        <v>30977664</v>
      </c>
      <c r="Y32" s="40">
        <v>30837403</v>
      </c>
      <c r="Z32" s="40">
        <v>33268056</v>
      </c>
      <c r="AA32" s="20"/>
      <c r="AB32" s="20"/>
      <c r="AC32" s="40">
        <v>1475150481</v>
      </c>
      <c r="AD32" s="40">
        <v>631188084</v>
      </c>
      <c r="AE32" s="40">
        <v>327783896</v>
      </c>
      <c r="AF32" s="40">
        <v>340164366</v>
      </c>
      <c r="AG32" s="40">
        <v>329341965</v>
      </c>
      <c r="AH32" s="42">
        <v>348831676</v>
      </c>
      <c r="AI32" s="21"/>
    </row>
    <row r="33" spans="2:35" x14ac:dyDescent="0.2">
      <c r="B33" s="29"/>
      <c r="C33" s="23"/>
      <c r="D33" s="41" t="s">
        <v>38</v>
      </c>
      <c r="E33" s="40">
        <v>3083115</v>
      </c>
      <c r="F33" s="40">
        <v>467135</v>
      </c>
      <c r="G33" s="40">
        <v>707533</v>
      </c>
      <c r="H33" s="40">
        <v>608472</v>
      </c>
      <c r="I33" s="40">
        <v>776880</v>
      </c>
      <c r="J33" s="40">
        <v>618071</v>
      </c>
      <c r="K33" s="20"/>
      <c r="L33" s="20"/>
      <c r="M33" s="40">
        <v>18150655</v>
      </c>
      <c r="N33" s="40">
        <v>4821528</v>
      </c>
      <c r="O33" s="40">
        <v>3520882</v>
      </c>
      <c r="P33" s="40">
        <v>3610784</v>
      </c>
      <c r="Q33" s="40">
        <v>3553270</v>
      </c>
      <c r="R33" s="40">
        <v>3315170</v>
      </c>
      <c r="S33" s="20"/>
      <c r="T33" s="20"/>
      <c r="U33" s="40">
        <v>142217344</v>
      </c>
      <c r="V33" s="40">
        <v>52996039</v>
      </c>
      <c r="W33" s="40">
        <v>33731941</v>
      </c>
      <c r="X33" s="40">
        <v>30915655</v>
      </c>
      <c r="Y33" s="40">
        <v>30591331</v>
      </c>
      <c r="Z33" s="40">
        <v>33203109</v>
      </c>
      <c r="AA33" s="20"/>
      <c r="AB33" s="20"/>
      <c r="AC33" s="40">
        <v>1389385881</v>
      </c>
      <c r="AD33" s="40">
        <v>638504663</v>
      </c>
      <c r="AE33" s="40">
        <v>322143712</v>
      </c>
      <c r="AF33" s="40">
        <v>329569604</v>
      </c>
      <c r="AG33" s="40">
        <v>332057816</v>
      </c>
      <c r="AH33" s="42">
        <v>393020536</v>
      </c>
      <c r="AI33" s="21"/>
    </row>
    <row r="34" spans="2:35" x14ac:dyDescent="0.2">
      <c r="B34" s="29"/>
      <c r="C34" s="23"/>
      <c r="D34" s="41" t="s">
        <v>39</v>
      </c>
      <c r="E34" s="40">
        <v>2966781</v>
      </c>
      <c r="F34" s="40">
        <v>467199</v>
      </c>
      <c r="G34" s="40">
        <v>653080</v>
      </c>
      <c r="H34" s="40">
        <v>631141</v>
      </c>
      <c r="I34" s="40">
        <v>616627</v>
      </c>
      <c r="J34" s="40">
        <v>632359</v>
      </c>
      <c r="K34" s="20"/>
      <c r="L34" s="20"/>
      <c r="M34" s="40">
        <v>18972873</v>
      </c>
      <c r="N34" s="40">
        <v>4821792</v>
      </c>
      <c r="O34" s="40">
        <v>5080861</v>
      </c>
      <c r="P34" s="40">
        <v>3550443</v>
      </c>
      <c r="Q34" s="40">
        <v>3193066</v>
      </c>
      <c r="R34" s="40">
        <v>3249132</v>
      </c>
      <c r="S34" s="20"/>
      <c r="T34" s="20"/>
      <c r="U34" s="40">
        <v>145368289</v>
      </c>
      <c r="V34" s="40">
        <v>46754974</v>
      </c>
      <c r="W34" s="40">
        <v>30877067</v>
      </c>
      <c r="X34" s="40">
        <v>30326905</v>
      </c>
      <c r="Y34" s="40">
        <v>29999774</v>
      </c>
      <c r="Z34" s="40">
        <v>32942554</v>
      </c>
      <c r="AA34" s="20"/>
      <c r="AB34" s="20"/>
      <c r="AC34" s="40">
        <v>1500970485</v>
      </c>
      <c r="AD34" s="40">
        <v>617504031</v>
      </c>
      <c r="AE34" s="40">
        <v>319813663</v>
      </c>
      <c r="AF34" s="40">
        <v>326662142</v>
      </c>
      <c r="AG34" s="40">
        <v>337712325</v>
      </c>
      <c r="AH34" s="42">
        <v>360872437</v>
      </c>
      <c r="AI34" s="21"/>
    </row>
    <row r="35" spans="2:35" ht="16" thickBot="1" x14ac:dyDescent="0.25">
      <c r="B35" s="29"/>
      <c r="C35" s="24"/>
      <c r="D35" s="36" t="s">
        <v>44</v>
      </c>
      <c r="E35" s="25" cm="1">
        <f t="array" ref="E35">ROUND(AVERAGE(IF((ISNUMBER(E5:E34))*(E5:E34&lt;LARGE(E5:E34,2))*(E5:E34&gt;SMALL(E5:E34,2)),E5:E34)),0)</f>
        <v>2711211</v>
      </c>
      <c r="F35" s="25" cm="1">
        <f t="array" ref="F35">ROUND(AVERAGE(IF((ISNUMBER(F5:F34))*(F5:F34&lt;LARGE(F5:F34,2))*(F5:F34&gt;SMALL(F5:F34,2)),F5:F34)),0)</f>
        <v>470802</v>
      </c>
      <c r="G35" s="25" cm="1">
        <f t="array" ref="G35">ROUND(AVERAGE(IF((ISNUMBER(G5:G34))*(G5:G34&lt;LARGE(G5:G34,2))*(G5:G34&gt;SMALL(G5:G34,2)),G5:G34)),0)</f>
        <v>615703</v>
      </c>
      <c r="H35" s="25" cm="1">
        <f t="array" ref="H35">ROUND(AVERAGE(IF((ISNUMBER(H5:H34))*(H5:H34&lt;LARGE(H5:H34,2))*(H5:H34&gt;SMALL(H5:H34,2)),H5:H34)),0)</f>
        <v>608998</v>
      </c>
      <c r="I35" s="25" cm="1">
        <f t="array" ref="I35">ROUND(AVERAGE(IF((ISNUMBER(I5:I34))*(I5:I34&lt;LARGE(I5:I34,2))*(I5:I34&gt;SMALL(I5:I34,2)),I5:I34)),0)</f>
        <v>746837</v>
      </c>
      <c r="J35" s="25" cm="1">
        <f t="array" ref="J35">ROUND(AVERAGE(IF((ISNUMBER(J5:J34))*(J5:J34&lt;LARGE(J5:J34,2))*(J5:J34&gt;SMALL(J5:J34,2)),J5:J34)),0)</f>
        <v>614601</v>
      </c>
      <c r="K35" s="25"/>
      <c r="L35" s="25"/>
      <c r="M35" s="25" cm="1">
        <f t="array" ref="M35">ROUND(AVERAGE(IF((ISNUMBER(M5:M34))*(M5:M34&lt;LARGE(M5:M34,2))*(M5:M34&gt;SMALL(M5:M34,2)),M5:M34)),0)</f>
        <v>18866115</v>
      </c>
      <c r="N35" s="25" cm="1">
        <f t="array" ref="N35">ROUND(AVERAGE(IF((ISNUMBER(N5:N34))*(N5:N34&lt;LARGE(N5:N34,2))*(N5:N34&gt;SMALL(N5:N34,2)),N5:N34)),0)</f>
        <v>4845888</v>
      </c>
      <c r="O35" s="25" cm="1">
        <f t="array" ref="O35">ROUND(AVERAGE(IF((ISNUMBER(O5:O34))*(O5:O34&lt;LARGE(O5:O34,2))*(O5:O34&gt;SMALL(O5:O34,2)),O5:O34)),0)</f>
        <v>4999839</v>
      </c>
      <c r="P35" s="25" cm="1">
        <f t="array" ref="P35">ROUND(AVERAGE(IF((ISNUMBER(P5:P34))*(P5:P34&lt;LARGE(P5:P34,2))*(P5:P34&gt;SMALL(P5:P34,2)),P5:P34)),0)</f>
        <v>3574205</v>
      </c>
      <c r="Q35" s="25" cm="1">
        <f t="array" ref="Q35">ROUND(AVERAGE(IF((ISNUMBER(Q5:Q34))*(Q5:Q34&lt;LARGE(Q5:Q34,2))*(Q5:Q34&gt;SMALL(Q5:Q34,2)),Q5:Q34)),0)</f>
        <v>3413305</v>
      </c>
      <c r="R35" s="25" cm="1">
        <f t="array" ref="R35">ROUND(AVERAGE(IF((ISNUMBER(R5:R34))*(R5:R34&lt;LARGE(R5:R34,2))*(R5:R34&gt;SMALL(R5:R34,2)),R5:R34)),0)</f>
        <v>3312744</v>
      </c>
      <c r="S35" s="25"/>
      <c r="T35" s="25"/>
      <c r="U35" s="25" cm="1">
        <f t="array" ref="U35">ROUND(AVERAGE(IF((ISNUMBER(U5:U34))*(U5:U34&lt;LARGE(U5:U34,2))*(U5:U34&gt;SMALL(U5:U34,2)),U5:U34)),0)</f>
        <v>142686914</v>
      </c>
      <c r="V35" s="25" cm="1">
        <f t="array" ref="V35">ROUND(AVERAGE(IF((ISNUMBER(V5:V34))*(V5:V34&lt;LARGE(V5:V34,2))*(V5:V34&gt;SMALL(V5:V34,2)),V5:V34)),0)</f>
        <v>52084327</v>
      </c>
      <c r="W35" s="25" cm="1">
        <f t="array" ref="W35">ROUND(AVERAGE(IF((ISNUMBER(W5:W34))*(W5:W34&lt;LARGE(W5:W34,2))*(W5:W34&gt;SMALL(W5:W34,2)),W5:W34)),0)</f>
        <v>30875411</v>
      </c>
      <c r="X35" s="25" cm="1">
        <f t="array" ref="X35">ROUND(AVERAGE(IF((ISNUMBER(X5:X34))*(X5:X34&lt;LARGE(X5:X34,2))*(X5:X34&gt;SMALL(X5:X34,2)),X5:X34)),0)</f>
        <v>31367505</v>
      </c>
      <c r="Y35" s="25" cm="1">
        <f t="array" ref="Y35">ROUND(AVERAGE(IF((ISNUMBER(Y5:Y34))*(Y5:Y34&lt;LARGE(Y5:Y34,2))*(Y5:Y34&gt;SMALL(Y5:Y34,2)),Y5:Y34)),0)</f>
        <v>30590885</v>
      </c>
      <c r="Z35" s="25" cm="1">
        <f t="array" ref="Z35">ROUND(AVERAGE(IF((ISNUMBER(Z5:Z34))*(Z5:Z34&lt;LARGE(Z5:Z34,2))*(Z5:Z34&gt;SMALL(Z5:Z34,2)),Z5:Z34)),0)</f>
        <v>32652943</v>
      </c>
      <c r="AA35" s="25"/>
      <c r="AB35" s="25"/>
      <c r="AC35" s="25" cm="1">
        <f t="array" ref="AC35">ROUND(AVERAGE(IF((ISNUMBER(AC5:AC34))*(AC5:AC34&lt;LARGE(AC5:AC34,2))*(AC5:AC34&gt;SMALL(AC5:AC34,2)),AC5:AC34)),0)</f>
        <v>1417072687</v>
      </c>
      <c r="AD35" s="25" cm="1">
        <f t="array" ref="AD35">ROUND(AVERAGE(IF((ISNUMBER(AD5:AD34))*(AD5:AD34&lt;LARGE(AD5:AD34,2))*(AD5:AD34&gt;SMALL(AD5:AD34,2)),AD5:AD34)),0)</f>
        <v>626938935</v>
      </c>
      <c r="AE35" s="25" cm="1">
        <f t="array" ref="AE35">ROUND(AVERAGE(IF((ISNUMBER(AE5:AE34))*(AE5:AE34&lt;LARGE(AE5:AE34,2))*(AE5:AE34&gt;SMALL(AE5:AE34,2)),AE5:AE34)),0)</f>
        <v>324853031</v>
      </c>
      <c r="AF35" s="25" cm="1">
        <f t="array" ref="AF35">ROUND(AVERAGE(IF((ISNUMBER(AF5:AF34))*(AF5:AF34&lt;LARGE(AF5:AF34,2))*(AF5:AF34&gt;SMALL(AF5:AF34,2)),AF5:AF34)),0)</f>
        <v>330485672</v>
      </c>
      <c r="AG35" s="25" cm="1">
        <f t="array" ref="AG35">ROUND(AVERAGE(IF((ISNUMBER(AG5:AG34))*(AG5:AG34&lt;LARGE(AG5:AG34,2))*(AG5:AG34&gt;SMALL(AG5:AG34,2)),AG5:AG34)),0)</f>
        <v>357459778</v>
      </c>
      <c r="AH35" s="25" cm="1">
        <f t="array" ref="AH35">ROUND(AVERAGE(IF((ISNUMBER(AH5:AH34))*(AH5:AH34&lt;LARGE(AH5:AH34,2))*(AH5:AH34&gt;SMALL(AH5:AH34,2)),AH5:AH34)),0)</f>
        <v>350316900</v>
      </c>
      <c r="AI35" s="21"/>
    </row>
    <row r="36" spans="2:35" ht="16" thickBot="1" x14ac:dyDescent="0.25">
      <c r="B36" s="30"/>
      <c r="C36" s="27"/>
      <c r="D36" s="3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8"/>
    </row>
    <row r="37" spans="2:35" ht="16" thickBot="1" x14ac:dyDescent="0.25">
      <c r="B37" s="31"/>
      <c r="D37" s="1"/>
    </row>
    <row r="38" spans="2:35" ht="37" x14ac:dyDescent="0.45">
      <c r="B38" s="32" t="s">
        <v>41</v>
      </c>
      <c r="C38" s="15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2:35" ht="16" thickBot="1" x14ac:dyDescent="0.25">
      <c r="B39" s="33"/>
      <c r="C39" s="19"/>
      <c r="D39" s="3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/>
    </row>
    <row r="40" spans="2:35" x14ac:dyDescent="0.2">
      <c r="B40" s="29"/>
      <c r="C40" s="43" t="s">
        <v>0</v>
      </c>
      <c r="D40" s="34"/>
      <c r="E40" s="34" t="s">
        <v>1</v>
      </c>
      <c r="F40" s="34" t="s">
        <v>2</v>
      </c>
      <c r="G40" s="34" t="s">
        <v>3</v>
      </c>
      <c r="H40" s="34" t="s">
        <v>4</v>
      </c>
      <c r="I40" s="34" t="s">
        <v>5</v>
      </c>
      <c r="J40" s="34" t="s">
        <v>6</v>
      </c>
      <c r="K40" s="45" t="s">
        <v>7</v>
      </c>
      <c r="L40" s="45"/>
      <c r="M40" s="34" t="s">
        <v>1</v>
      </c>
      <c r="N40" s="34" t="s">
        <v>2</v>
      </c>
      <c r="O40" s="34" t="s">
        <v>3</v>
      </c>
      <c r="P40" s="34" t="s">
        <v>4</v>
      </c>
      <c r="Q40" s="34" t="s">
        <v>5</v>
      </c>
      <c r="R40" s="34" t="s">
        <v>6</v>
      </c>
      <c r="S40" s="45" t="s">
        <v>8</v>
      </c>
      <c r="T40" s="45"/>
      <c r="U40" s="34" t="s">
        <v>1</v>
      </c>
      <c r="V40" s="34" t="s">
        <v>2</v>
      </c>
      <c r="W40" s="34" t="s">
        <v>3</v>
      </c>
      <c r="X40" s="34" t="s">
        <v>4</v>
      </c>
      <c r="Y40" s="34" t="s">
        <v>5</v>
      </c>
      <c r="Z40" s="34" t="s">
        <v>6</v>
      </c>
      <c r="AA40" s="45" t="s">
        <v>9</v>
      </c>
      <c r="AB40" s="45"/>
      <c r="AC40" s="34" t="s">
        <v>1</v>
      </c>
      <c r="AD40" s="34" t="s">
        <v>2</v>
      </c>
      <c r="AE40" s="34" t="s">
        <v>3</v>
      </c>
      <c r="AF40" s="34" t="s">
        <v>4</v>
      </c>
      <c r="AG40" s="34" t="s">
        <v>5</v>
      </c>
      <c r="AH40" s="35" t="s">
        <v>6</v>
      </c>
      <c r="AI40" s="21"/>
    </row>
    <row r="41" spans="2:35" x14ac:dyDescent="0.2">
      <c r="B41" s="29"/>
      <c r="C41" s="23"/>
      <c r="D41" s="41" t="s">
        <v>10</v>
      </c>
      <c r="E41" s="40">
        <v>1148924</v>
      </c>
      <c r="F41" s="40">
        <v>225679</v>
      </c>
      <c r="G41" s="40">
        <v>286414</v>
      </c>
      <c r="H41" s="40">
        <v>266228</v>
      </c>
      <c r="I41" s="40">
        <v>258345</v>
      </c>
      <c r="J41" s="40">
        <v>266693</v>
      </c>
      <c r="K41" s="20"/>
      <c r="L41" s="20"/>
      <c r="M41" s="40">
        <v>6483202</v>
      </c>
      <c r="N41" s="40">
        <v>1868781</v>
      </c>
      <c r="O41" s="40">
        <v>1300091</v>
      </c>
      <c r="P41" s="40">
        <v>1066417</v>
      </c>
      <c r="Q41" s="40">
        <v>1024171</v>
      </c>
      <c r="R41" s="40">
        <v>878759</v>
      </c>
      <c r="S41" s="20"/>
      <c r="T41" s="20"/>
      <c r="U41" s="40">
        <v>106295035</v>
      </c>
      <c r="V41" s="40">
        <v>44360254</v>
      </c>
      <c r="W41" s="40">
        <v>27698413</v>
      </c>
      <c r="X41" s="40">
        <v>28098578</v>
      </c>
      <c r="Y41" s="40">
        <v>26966514</v>
      </c>
      <c r="Z41" s="40">
        <v>24989899</v>
      </c>
      <c r="AA41" s="20"/>
      <c r="AB41" s="20"/>
      <c r="AC41" s="40">
        <v>1271878095</v>
      </c>
      <c r="AD41" s="40">
        <v>621334452</v>
      </c>
      <c r="AE41" s="40">
        <v>310615961</v>
      </c>
      <c r="AF41" s="40">
        <v>319987876</v>
      </c>
      <c r="AG41" s="40">
        <v>319940427</v>
      </c>
      <c r="AH41" s="42">
        <v>317945722</v>
      </c>
      <c r="AI41" s="21"/>
    </row>
    <row r="42" spans="2:35" x14ac:dyDescent="0.2">
      <c r="B42" s="29"/>
      <c r="C42" s="23"/>
      <c r="D42" s="41" t="s">
        <v>11</v>
      </c>
      <c r="E42" s="40">
        <v>1202066</v>
      </c>
      <c r="F42" s="40">
        <v>227840</v>
      </c>
      <c r="G42" s="40">
        <v>269733</v>
      </c>
      <c r="H42" s="40">
        <v>263910</v>
      </c>
      <c r="I42" s="40">
        <v>259612</v>
      </c>
      <c r="J42" s="40">
        <v>275437</v>
      </c>
      <c r="K42" s="20"/>
      <c r="L42" s="20"/>
      <c r="M42" s="40">
        <v>6539616</v>
      </c>
      <c r="N42" s="40">
        <v>1866469</v>
      </c>
      <c r="O42" s="40">
        <v>1466393</v>
      </c>
      <c r="P42" s="40">
        <v>979090</v>
      </c>
      <c r="Q42" s="40">
        <v>1063413</v>
      </c>
      <c r="R42" s="40">
        <v>1038647</v>
      </c>
      <c r="S42" s="20"/>
      <c r="T42" s="20"/>
      <c r="U42" s="40">
        <v>107092261</v>
      </c>
      <c r="V42" s="40">
        <v>46033157</v>
      </c>
      <c r="W42" s="40">
        <v>27151672</v>
      </c>
      <c r="X42" s="40">
        <v>24995747</v>
      </c>
      <c r="Y42" s="40">
        <v>25802616</v>
      </c>
      <c r="Z42" s="40">
        <v>26329699</v>
      </c>
      <c r="AA42" s="20"/>
      <c r="AB42" s="20"/>
      <c r="AC42" s="40">
        <v>1251331063</v>
      </c>
      <c r="AD42" s="40">
        <v>610542468</v>
      </c>
      <c r="AE42" s="40">
        <v>316449930</v>
      </c>
      <c r="AF42" s="40">
        <v>310193460</v>
      </c>
      <c r="AG42" s="40">
        <v>318237229</v>
      </c>
      <c r="AH42" s="42">
        <v>321522283</v>
      </c>
      <c r="AI42" s="21"/>
    </row>
    <row r="43" spans="2:35" x14ac:dyDescent="0.2">
      <c r="B43" s="29"/>
      <c r="C43" s="23"/>
      <c r="D43" s="41" t="s">
        <v>12</v>
      </c>
      <c r="E43" s="40">
        <v>1104486</v>
      </c>
      <c r="F43" s="40">
        <v>214449</v>
      </c>
      <c r="G43" s="40">
        <v>259818</v>
      </c>
      <c r="H43" s="40">
        <v>288956</v>
      </c>
      <c r="I43" s="40">
        <v>288438</v>
      </c>
      <c r="J43" s="40">
        <v>257225</v>
      </c>
      <c r="K43" s="20"/>
      <c r="L43" s="20"/>
      <c r="M43" s="40">
        <v>4697960</v>
      </c>
      <c r="N43" s="40">
        <v>1919506</v>
      </c>
      <c r="O43" s="40">
        <v>1275926</v>
      </c>
      <c r="P43" s="40">
        <v>1028774</v>
      </c>
      <c r="Q43" s="40">
        <v>1021261</v>
      </c>
      <c r="R43" s="40">
        <v>989048</v>
      </c>
      <c r="S43" s="20"/>
      <c r="T43" s="20"/>
      <c r="U43" s="40">
        <v>104261985</v>
      </c>
      <c r="V43" s="40">
        <v>47378218</v>
      </c>
      <c r="W43" s="40">
        <v>27353837</v>
      </c>
      <c r="X43" s="40">
        <v>26614906</v>
      </c>
      <c r="Y43" s="40">
        <v>26446741</v>
      </c>
      <c r="Z43" s="40">
        <v>26999336</v>
      </c>
      <c r="AA43" s="20"/>
      <c r="AB43" s="20"/>
      <c r="AC43" s="40">
        <v>1289700608</v>
      </c>
      <c r="AD43" s="40">
        <v>597863182</v>
      </c>
      <c r="AE43" s="40">
        <v>318403259</v>
      </c>
      <c r="AF43" s="40">
        <v>317210094</v>
      </c>
      <c r="AG43" s="40">
        <v>325009644</v>
      </c>
      <c r="AH43" s="42">
        <v>318053128</v>
      </c>
      <c r="AI43" s="21"/>
    </row>
    <row r="44" spans="2:35" x14ac:dyDescent="0.2">
      <c r="B44" s="29"/>
      <c r="C44" s="23"/>
      <c r="D44" s="41" t="s">
        <v>13</v>
      </c>
      <c r="E44" s="40">
        <v>1196160</v>
      </c>
      <c r="F44" s="40">
        <v>230638</v>
      </c>
      <c r="G44" s="40">
        <v>281469</v>
      </c>
      <c r="H44" s="40">
        <v>326048</v>
      </c>
      <c r="I44" s="40">
        <v>285342</v>
      </c>
      <c r="J44" s="40">
        <v>272210</v>
      </c>
      <c r="K44" s="20"/>
      <c r="L44" s="20"/>
      <c r="M44" s="40">
        <v>4180396</v>
      </c>
      <c r="N44" s="40">
        <v>1922596</v>
      </c>
      <c r="O44" s="40">
        <v>1339000</v>
      </c>
      <c r="P44" s="40">
        <v>833724</v>
      </c>
      <c r="Q44" s="40">
        <v>1030765</v>
      </c>
      <c r="R44" s="40">
        <v>919523</v>
      </c>
      <c r="S44" s="20"/>
      <c r="T44" s="20"/>
      <c r="U44" s="40">
        <v>104464524</v>
      </c>
      <c r="V44" s="40">
        <v>47813547</v>
      </c>
      <c r="W44" s="40">
        <v>25935955</v>
      </c>
      <c r="X44" s="40">
        <v>26317979</v>
      </c>
      <c r="Y44" s="40">
        <v>26570421</v>
      </c>
      <c r="Z44" s="40">
        <v>26583799</v>
      </c>
      <c r="AA44" s="20"/>
      <c r="AB44" s="20"/>
      <c r="AC44" s="40">
        <v>1297940912</v>
      </c>
      <c r="AD44" s="40">
        <v>604676332</v>
      </c>
      <c r="AE44" s="40">
        <v>314089473</v>
      </c>
      <c r="AF44" s="40">
        <v>315749259</v>
      </c>
      <c r="AG44" s="40">
        <v>318796705</v>
      </c>
      <c r="AH44" s="42">
        <v>349742074</v>
      </c>
      <c r="AI44" s="21"/>
    </row>
    <row r="45" spans="2:35" x14ac:dyDescent="0.2">
      <c r="B45" s="29"/>
      <c r="C45" s="23"/>
      <c r="D45" s="41" t="s">
        <v>14</v>
      </c>
      <c r="E45" s="40">
        <v>1219318</v>
      </c>
      <c r="F45" s="40">
        <v>233834</v>
      </c>
      <c r="G45" s="40">
        <v>257892</v>
      </c>
      <c r="H45" s="40">
        <v>269786</v>
      </c>
      <c r="I45" s="40">
        <v>282204</v>
      </c>
      <c r="J45" s="40">
        <v>283040</v>
      </c>
      <c r="K45" s="20"/>
      <c r="L45" s="20"/>
      <c r="M45" s="40">
        <v>3190832</v>
      </c>
      <c r="N45" s="40">
        <v>1899738</v>
      </c>
      <c r="O45" s="40">
        <v>1447671</v>
      </c>
      <c r="P45" s="40">
        <v>885529</v>
      </c>
      <c r="Q45" s="40">
        <v>1026613</v>
      </c>
      <c r="R45" s="40">
        <v>991111</v>
      </c>
      <c r="S45" s="20"/>
      <c r="T45" s="20"/>
      <c r="U45" s="40">
        <v>107975781</v>
      </c>
      <c r="V45" s="40">
        <v>46653123</v>
      </c>
      <c r="W45" s="40">
        <v>26583260</v>
      </c>
      <c r="X45" s="40">
        <v>25825506</v>
      </c>
      <c r="Y45" s="40">
        <v>25974923</v>
      </c>
      <c r="Z45" s="40">
        <v>26382250</v>
      </c>
      <c r="AA45" s="20"/>
      <c r="AB45" s="20"/>
      <c r="AC45" s="40">
        <v>1301275489</v>
      </c>
      <c r="AD45" s="40">
        <v>590130139</v>
      </c>
      <c r="AE45" s="40">
        <v>310206125</v>
      </c>
      <c r="AF45" s="40">
        <v>314460554</v>
      </c>
      <c r="AG45" s="40">
        <v>314447476</v>
      </c>
      <c r="AH45" s="42">
        <v>347020790</v>
      </c>
      <c r="AI45" s="21"/>
    </row>
    <row r="46" spans="2:35" x14ac:dyDescent="0.2">
      <c r="B46" s="29"/>
      <c r="C46" s="23"/>
      <c r="D46" s="41" t="s">
        <v>15</v>
      </c>
      <c r="E46" s="40">
        <v>1188103</v>
      </c>
      <c r="F46" s="40">
        <v>225788</v>
      </c>
      <c r="G46" s="40">
        <v>262708</v>
      </c>
      <c r="H46" s="40">
        <v>274653</v>
      </c>
      <c r="I46" s="40">
        <v>265511</v>
      </c>
      <c r="J46" s="40">
        <v>259605</v>
      </c>
      <c r="K46" s="20"/>
      <c r="L46" s="20"/>
      <c r="M46" s="40">
        <v>6405754</v>
      </c>
      <c r="N46" s="40">
        <v>1958766</v>
      </c>
      <c r="O46" s="40">
        <v>1364238</v>
      </c>
      <c r="P46" s="40">
        <v>1032115</v>
      </c>
      <c r="Q46" s="40">
        <v>1043908</v>
      </c>
      <c r="R46" s="40">
        <v>965804</v>
      </c>
      <c r="S46" s="20"/>
      <c r="T46" s="20"/>
      <c r="U46" s="40">
        <v>112524274</v>
      </c>
      <c r="V46" s="40">
        <v>46422250</v>
      </c>
      <c r="W46" s="40">
        <v>27448718</v>
      </c>
      <c r="X46" s="40">
        <v>26117748</v>
      </c>
      <c r="Y46" s="40">
        <v>27554350</v>
      </c>
      <c r="Z46" s="40">
        <v>26560716</v>
      </c>
      <c r="AA46" s="20"/>
      <c r="AB46" s="20"/>
      <c r="AC46" s="40">
        <v>1385809175</v>
      </c>
      <c r="AD46" s="40">
        <v>595760990</v>
      </c>
      <c r="AE46" s="40">
        <v>317647212</v>
      </c>
      <c r="AF46" s="40">
        <v>314182338</v>
      </c>
      <c r="AG46" s="40">
        <v>502283042</v>
      </c>
      <c r="AH46" s="42">
        <v>327560385</v>
      </c>
      <c r="AI46" s="21"/>
    </row>
    <row r="47" spans="2:35" x14ac:dyDescent="0.2">
      <c r="B47" s="29"/>
      <c r="C47" s="23"/>
      <c r="D47" s="41" t="s">
        <v>16</v>
      </c>
      <c r="E47" s="40">
        <v>1228112</v>
      </c>
      <c r="F47" s="40">
        <v>210761</v>
      </c>
      <c r="G47" s="40">
        <v>273593</v>
      </c>
      <c r="H47" s="40">
        <v>258612</v>
      </c>
      <c r="I47" s="40">
        <v>274042</v>
      </c>
      <c r="J47" s="40">
        <v>267466</v>
      </c>
      <c r="K47" s="20"/>
      <c r="L47" s="20"/>
      <c r="M47" s="40">
        <v>5649601</v>
      </c>
      <c r="N47" s="40">
        <v>1831000</v>
      </c>
      <c r="O47" s="40">
        <v>941624</v>
      </c>
      <c r="P47" s="40">
        <v>1051513</v>
      </c>
      <c r="Q47" s="40">
        <v>1065864</v>
      </c>
      <c r="R47" s="40">
        <v>983630</v>
      </c>
      <c r="S47" s="20"/>
      <c r="T47" s="20"/>
      <c r="U47" s="40">
        <v>111505340</v>
      </c>
      <c r="V47" s="40">
        <v>46787852</v>
      </c>
      <c r="W47" s="40">
        <v>27494457</v>
      </c>
      <c r="X47" s="40">
        <v>25998400</v>
      </c>
      <c r="Y47" s="40">
        <v>25180586</v>
      </c>
      <c r="Z47" s="40">
        <v>28980354</v>
      </c>
      <c r="AA47" s="20"/>
      <c r="AB47" s="20"/>
      <c r="AC47" s="40">
        <v>1284754616</v>
      </c>
      <c r="AD47" s="40">
        <v>599278333</v>
      </c>
      <c r="AE47" s="40">
        <v>327430080</v>
      </c>
      <c r="AF47" s="40">
        <v>310963191</v>
      </c>
      <c r="AG47" s="40">
        <v>542025506</v>
      </c>
      <c r="AH47" s="42">
        <v>318950041</v>
      </c>
      <c r="AI47" s="21"/>
    </row>
    <row r="48" spans="2:35" x14ac:dyDescent="0.2">
      <c r="B48" s="29"/>
      <c r="C48" s="23"/>
      <c r="D48" s="41" t="s">
        <v>17</v>
      </c>
      <c r="E48" s="40">
        <v>1166007</v>
      </c>
      <c r="F48" s="40">
        <v>228915</v>
      </c>
      <c r="G48" s="40">
        <v>273469</v>
      </c>
      <c r="H48" s="40">
        <v>268984</v>
      </c>
      <c r="I48" s="40">
        <v>257982</v>
      </c>
      <c r="J48" s="40">
        <v>265823</v>
      </c>
      <c r="K48" s="20"/>
      <c r="L48" s="20"/>
      <c r="M48" s="40">
        <v>5885388</v>
      </c>
      <c r="N48" s="40">
        <v>1996410</v>
      </c>
      <c r="O48" s="40">
        <v>1408687</v>
      </c>
      <c r="P48" s="40">
        <v>1035023</v>
      </c>
      <c r="Q48" s="40">
        <v>973863</v>
      </c>
      <c r="R48" s="40">
        <v>1003239</v>
      </c>
      <c r="S48" s="20"/>
      <c r="T48" s="20"/>
      <c r="U48" s="40">
        <v>117139054</v>
      </c>
      <c r="V48" s="40">
        <v>49247774</v>
      </c>
      <c r="W48" s="40">
        <v>26897334</v>
      </c>
      <c r="X48" s="40">
        <v>24914614</v>
      </c>
      <c r="Y48" s="40">
        <v>26417215</v>
      </c>
      <c r="Z48" s="40">
        <v>24880973</v>
      </c>
      <c r="AA48" s="20"/>
      <c r="AB48" s="20"/>
      <c r="AC48" s="40">
        <v>1305740529</v>
      </c>
      <c r="AD48" s="40">
        <v>607970081</v>
      </c>
      <c r="AE48" s="40">
        <v>315778630</v>
      </c>
      <c r="AF48" s="40">
        <v>314040171</v>
      </c>
      <c r="AG48" s="40">
        <v>345022429</v>
      </c>
      <c r="AH48" s="42">
        <v>321674346</v>
      </c>
      <c r="AI48" s="21"/>
    </row>
    <row r="49" spans="2:35" x14ac:dyDescent="0.2">
      <c r="B49" s="29"/>
      <c r="C49" s="23"/>
      <c r="D49" s="41" t="s">
        <v>18</v>
      </c>
      <c r="E49" s="40">
        <v>1298642</v>
      </c>
      <c r="F49" s="40">
        <v>212231</v>
      </c>
      <c r="G49" s="40">
        <v>274851</v>
      </c>
      <c r="H49" s="40">
        <v>283775</v>
      </c>
      <c r="I49" s="40">
        <v>264596</v>
      </c>
      <c r="J49" s="40">
        <v>276566</v>
      </c>
      <c r="K49" s="20"/>
      <c r="L49" s="20"/>
      <c r="M49" s="40">
        <v>3506492</v>
      </c>
      <c r="N49" s="40">
        <v>1815552</v>
      </c>
      <c r="O49" s="40">
        <v>1340842</v>
      </c>
      <c r="P49" s="40">
        <v>1165376</v>
      </c>
      <c r="Q49" s="40">
        <v>1014355</v>
      </c>
      <c r="R49" s="40">
        <v>995715</v>
      </c>
      <c r="S49" s="20"/>
      <c r="T49" s="20"/>
      <c r="U49" s="40">
        <v>111624937</v>
      </c>
      <c r="V49" s="40">
        <v>50195294</v>
      </c>
      <c r="W49" s="40">
        <v>25677154</v>
      </c>
      <c r="X49" s="40">
        <v>25392647</v>
      </c>
      <c r="Y49" s="40">
        <v>27144795</v>
      </c>
      <c r="Z49" s="40">
        <v>25049365</v>
      </c>
      <c r="AA49" s="20"/>
      <c r="AB49" s="20"/>
      <c r="AC49" s="40">
        <v>1274859642</v>
      </c>
      <c r="AD49" s="40">
        <v>597676370</v>
      </c>
      <c r="AE49" s="40">
        <v>313257724</v>
      </c>
      <c r="AF49" s="40">
        <v>318041617</v>
      </c>
      <c r="AG49" s="40">
        <v>374118293</v>
      </c>
      <c r="AH49" s="42">
        <v>325261922</v>
      </c>
      <c r="AI49" s="21"/>
    </row>
    <row r="50" spans="2:35" x14ac:dyDescent="0.2">
      <c r="B50" s="29"/>
      <c r="C50" s="23"/>
      <c r="D50" s="41" t="s">
        <v>19</v>
      </c>
      <c r="E50" s="40">
        <v>1246610</v>
      </c>
      <c r="F50" s="40">
        <v>205286</v>
      </c>
      <c r="G50" s="40">
        <v>255411</v>
      </c>
      <c r="H50" s="40">
        <v>277359</v>
      </c>
      <c r="I50" s="40">
        <v>266586</v>
      </c>
      <c r="J50" s="40">
        <v>261129</v>
      </c>
      <c r="K50" s="20"/>
      <c r="L50" s="20"/>
      <c r="M50" s="40">
        <v>6287016</v>
      </c>
      <c r="N50" s="40">
        <v>1859197</v>
      </c>
      <c r="O50" s="40">
        <v>1405194</v>
      </c>
      <c r="P50" s="40">
        <v>1024179</v>
      </c>
      <c r="Q50" s="40">
        <v>1043132</v>
      </c>
      <c r="R50" s="40">
        <v>990184</v>
      </c>
      <c r="S50" s="20"/>
      <c r="T50" s="20"/>
      <c r="U50" s="40">
        <v>116638309</v>
      </c>
      <c r="V50" s="40">
        <v>46603049</v>
      </c>
      <c r="W50" s="40">
        <v>26488632</v>
      </c>
      <c r="X50" s="40">
        <v>26765356</v>
      </c>
      <c r="Y50" s="40">
        <v>27109884</v>
      </c>
      <c r="Z50" s="40">
        <v>26871405</v>
      </c>
      <c r="AA50" s="20"/>
      <c r="AB50" s="20"/>
      <c r="AC50" s="40">
        <v>1329993236</v>
      </c>
      <c r="AD50" s="40">
        <v>607755879</v>
      </c>
      <c r="AE50" s="40">
        <v>315908286</v>
      </c>
      <c r="AF50" s="40">
        <v>312600064</v>
      </c>
      <c r="AG50" s="40">
        <v>385177132</v>
      </c>
      <c r="AH50" s="42">
        <v>316634733</v>
      </c>
      <c r="AI50" s="21"/>
    </row>
    <row r="51" spans="2:35" x14ac:dyDescent="0.2">
      <c r="B51" s="29"/>
      <c r="C51" s="23"/>
      <c r="D51" s="41" t="s">
        <v>20</v>
      </c>
      <c r="E51" s="40">
        <v>1169698</v>
      </c>
      <c r="F51" s="40">
        <v>213560</v>
      </c>
      <c r="G51" s="40">
        <v>270973</v>
      </c>
      <c r="H51" s="40">
        <v>259059</v>
      </c>
      <c r="I51" s="40">
        <v>266401</v>
      </c>
      <c r="J51" s="40">
        <v>248041</v>
      </c>
      <c r="K51" s="20"/>
      <c r="L51" s="20"/>
      <c r="M51" s="40">
        <v>3401526</v>
      </c>
      <c r="N51" s="40">
        <v>1880340</v>
      </c>
      <c r="O51" s="40">
        <v>952494</v>
      </c>
      <c r="P51" s="40">
        <v>1041695</v>
      </c>
      <c r="Q51" s="40">
        <v>1016202</v>
      </c>
      <c r="R51" s="40">
        <v>1024360</v>
      </c>
      <c r="S51" s="20"/>
      <c r="T51" s="20"/>
      <c r="U51" s="40">
        <v>106658944</v>
      </c>
      <c r="V51" s="40">
        <v>46301511</v>
      </c>
      <c r="W51" s="40">
        <v>26525729</v>
      </c>
      <c r="X51" s="40">
        <v>27115184</v>
      </c>
      <c r="Y51" s="40">
        <v>25780559</v>
      </c>
      <c r="Z51" s="40">
        <v>27744494</v>
      </c>
      <c r="AA51" s="20"/>
      <c r="AB51" s="20"/>
      <c r="AC51" s="40">
        <v>1340060823</v>
      </c>
      <c r="AD51" s="40">
        <v>612516187</v>
      </c>
      <c r="AE51" s="40">
        <v>312612923</v>
      </c>
      <c r="AF51" s="40">
        <v>308703219</v>
      </c>
      <c r="AG51" s="40">
        <v>341585974</v>
      </c>
      <c r="AH51" s="42">
        <v>319272772</v>
      </c>
      <c r="AI51" s="21"/>
    </row>
    <row r="52" spans="2:35" x14ac:dyDescent="0.2">
      <c r="B52" s="29"/>
      <c r="C52" s="23"/>
      <c r="D52" s="41" t="s">
        <v>21</v>
      </c>
      <c r="E52" s="40">
        <v>1175903</v>
      </c>
      <c r="F52" s="40">
        <v>215013</v>
      </c>
      <c r="G52" s="40">
        <v>280212</v>
      </c>
      <c r="H52" s="40">
        <v>264091</v>
      </c>
      <c r="I52" s="40">
        <v>373613</v>
      </c>
      <c r="J52" s="40">
        <v>271335</v>
      </c>
      <c r="K52" s="20"/>
      <c r="L52" s="20"/>
      <c r="M52" s="40">
        <v>6709520</v>
      </c>
      <c r="N52" s="40">
        <v>1893580</v>
      </c>
      <c r="O52" s="40">
        <v>986704</v>
      </c>
      <c r="P52" s="40">
        <v>1066529</v>
      </c>
      <c r="Q52" s="40">
        <v>1044140</v>
      </c>
      <c r="R52" s="40">
        <v>994397</v>
      </c>
      <c r="S52" s="20"/>
      <c r="T52" s="20"/>
      <c r="U52" s="40">
        <v>116653465</v>
      </c>
      <c r="V52" s="40">
        <v>47535062</v>
      </c>
      <c r="W52" s="40">
        <v>27341298</v>
      </c>
      <c r="X52" s="40">
        <v>24999396</v>
      </c>
      <c r="Y52" s="40">
        <v>25907410</v>
      </c>
      <c r="Z52" s="40">
        <v>25661933</v>
      </c>
      <c r="AA52" s="20"/>
      <c r="AB52" s="20"/>
      <c r="AC52" s="40">
        <v>1448236894</v>
      </c>
      <c r="AD52" s="40">
        <v>599075160</v>
      </c>
      <c r="AE52" s="40">
        <v>315746023</v>
      </c>
      <c r="AF52" s="40">
        <v>315099127</v>
      </c>
      <c r="AG52" s="40">
        <v>372713789</v>
      </c>
      <c r="AH52" s="42">
        <v>317119000</v>
      </c>
      <c r="AI52" s="21"/>
    </row>
    <row r="53" spans="2:35" x14ac:dyDescent="0.2">
      <c r="B53" s="29"/>
      <c r="C53" s="23"/>
      <c r="D53" s="41" t="s">
        <v>22</v>
      </c>
      <c r="E53" s="40">
        <v>1205916</v>
      </c>
      <c r="F53" s="40">
        <v>219426</v>
      </c>
      <c r="G53" s="40">
        <v>299526</v>
      </c>
      <c r="H53" s="40">
        <v>262159</v>
      </c>
      <c r="I53" s="40">
        <v>637257</v>
      </c>
      <c r="J53" s="40">
        <v>263835</v>
      </c>
      <c r="K53" s="20"/>
      <c r="L53" s="20"/>
      <c r="M53" s="40">
        <v>6827384</v>
      </c>
      <c r="N53" s="40">
        <v>1862023</v>
      </c>
      <c r="O53" s="40">
        <v>1566995</v>
      </c>
      <c r="P53" s="40">
        <v>977305</v>
      </c>
      <c r="Q53" s="40">
        <v>970979</v>
      </c>
      <c r="R53" s="40">
        <v>1043893</v>
      </c>
      <c r="S53" s="20"/>
      <c r="T53" s="20"/>
      <c r="U53" s="40">
        <v>104886939</v>
      </c>
      <c r="V53" s="40">
        <v>49849128</v>
      </c>
      <c r="W53" s="40">
        <v>27549647</v>
      </c>
      <c r="X53" s="40">
        <v>26396601</v>
      </c>
      <c r="Y53" s="40">
        <v>26855813</v>
      </c>
      <c r="Z53" s="40">
        <v>26608597</v>
      </c>
      <c r="AA53" s="20"/>
      <c r="AB53" s="20"/>
      <c r="AC53" s="40">
        <v>1373301385</v>
      </c>
      <c r="AD53" s="40">
        <v>602556989</v>
      </c>
      <c r="AE53" s="40">
        <v>310691655</v>
      </c>
      <c r="AF53" s="40">
        <v>318419593</v>
      </c>
      <c r="AG53" s="40">
        <v>336764267</v>
      </c>
      <c r="AH53" s="42">
        <v>316336005</v>
      </c>
      <c r="AI53" s="21"/>
    </row>
    <row r="54" spans="2:35" x14ac:dyDescent="0.2">
      <c r="B54" s="29"/>
      <c r="C54" s="23"/>
      <c r="D54" s="41" t="s">
        <v>23</v>
      </c>
      <c r="E54" s="40">
        <v>1167982</v>
      </c>
      <c r="F54" s="40">
        <v>218815</v>
      </c>
      <c r="G54" s="40">
        <v>307821</v>
      </c>
      <c r="H54" s="40">
        <v>273420</v>
      </c>
      <c r="I54" s="40">
        <v>512080</v>
      </c>
      <c r="J54" s="40">
        <v>257023</v>
      </c>
      <c r="K54" s="20"/>
      <c r="L54" s="20"/>
      <c r="M54" s="40">
        <v>4368921</v>
      </c>
      <c r="N54" s="40">
        <v>1834292</v>
      </c>
      <c r="O54" s="40">
        <v>1398290</v>
      </c>
      <c r="P54" s="40">
        <v>852484</v>
      </c>
      <c r="Q54" s="40">
        <v>1010124</v>
      </c>
      <c r="R54" s="40">
        <v>1012719</v>
      </c>
      <c r="S54" s="20"/>
      <c r="T54" s="20"/>
      <c r="U54" s="40">
        <v>115298209</v>
      </c>
      <c r="V54" s="40">
        <v>47310032</v>
      </c>
      <c r="W54" s="40">
        <v>25930581</v>
      </c>
      <c r="X54" s="40">
        <v>27417278</v>
      </c>
      <c r="Y54" s="40">
        <v>25203177</v>
      </c>
      <c r="Z54" s="40">
        <v>25495122</v>
      </c>
      <c r="AA54" s="20"/>
      <c r="AB54" s="20"/>
      <c r="AC54" s="40">
        <v>1352473215</v>
      </c>
      <c r="AD54" s="40">
        <v>642369523</v>
      </c>
      <c r="AE54" s="40">
        <v>314393430</v>
      </c>
      <c r="AF54" s="40">
        <v>312743541</v>
      </c>
      <c r="AG54" s="40">
        <v>332407467</v>
      </c>
      <c r="AH54" s="42">
        <v>312033990</v>
      </c>
      <c r="AI54" s="21"/>
    </row>
    <row r="55" spans="2:35" x14ac:dyDescent="0.2">
      <c r="B55" s="29"/>
      <c r="C55" s="23"/>
      <c r="D55" s="41" t="s">
        <v>24</v>
      </c>
      <c r="E55" s="40">
        <v>1171216</v>
      </c>
      <c r="F55" s="40">
        <v>228958</v>
      </c>
      <c r="G55" s="40">
        <v>277601</v>
      </c>
      <c r="H55" s="40">
        <v>266298</v>
      </c>
      <c r="I55" s="40">
        <v>322986</v>
      </c>
      <c r="J55" s="40">
        <v>242515</v>
      </c>
      <c r="K55" s="20"/>
      <c r="L55" s="20"/>
      <c r="M55" s="40">
        <v>3961369</v>
      </c>
      <c r="N55" s="40">
        <v>1816674</v>
      </c>
      <c r="O55" s="40">
        <v>1411424</v>
      </c>
      <c r="P55" s="40">
        <v>1046258</v>
      </c>
      <c r="Q55" s="40">
        <v>1068030</v>
      </c>
      <c r="R55" s="40">
        <v>1008602</v>
      </c>
      <c r="S55" s="20"/>
      <c r="T55" s="20"/>
      <c r="U55" s="40">
        <v>106000323</v>
      </c>
      <c r="V55" s="40">
        <v>47652227</v>
      </c>
      <c r="W55" s="40">
        <v>25826423</v>
      </c>
      <c r="X55" s="40">
        <v>26093689</v>
      </c>
      <c r="Y55" s="40">
        <v>25797693</v>
      </c>
      <c r="Z55" s="40">
        <v>27158338</v>
      </c>
      <c r="AA55" s="20"/>
      <c r="AB55" s="20"/>
      <c r="AC55" s="40">
        <v>1336456010</v>
      </c>
      <c r="AD55" s="40">
        <v>613975373</v>
      </c>
      <c r="AE55" s="40">
        <v>316670343</v>
      </c>
      <c r="AF55" s="40">
        <v>326214428</v>
      </c>
      <c r="AG55" s="40">
        <v>347129768</v>
      </c>
      <c r="AH55" s="42">
        <v>316558046</v>
      </c>
      <c r="AI55" s="21"/>
    </row>
    <row r="56" spans="2:35" x14ac:dyDescent="0.2">
      <c r="B56" s="29"/>
      <c r="C56" s="23"/>
      <c r="D56" s="41" t="s">
        <v>25</v>
      </c>
      <c r="E56" s="40">
        <v>1224911</v>
      </c>
      <c r="F56" s="40">
        <v>213796</v>
      </c>
      <c r="G56" s="40">
        <v>270048</v>
      </c>
      <c r="H56" s="40">
        <v>254952</v>
      </c>
      <c r="I56" s="40">
        <v>314761</v>
      </c>
      <c r="J56" s="40">
        <v>264258</v>
      </c>
      <c r="K56" s="20"/>
      <c r="L56" s="20"/>
      <c r="M56" s="40">
        <v>4954076</v>
      </c>
      <c r="N56" s="40">
        <v>1788567</v>
      </c>
      <c r="O56" s="40">
        <v>1480899</v>
      </c>
      <c r="P56" s="40">
        <v>1010085</v>
      </c>
      <c r="Q56" s="40">
        <v>972327</v>
      </c>
      <c r="R56" s="40">
        <v>1029273</v>
      </c>
      <c r="S56" s="20"/>
      <c r="T56" s="20"/>
      <c r="U56" s="40">
        <v>105273440</v>
      </c>
      <c r="V56" s="40">
        <v>46337144</v>
      </c>
      <c r="W56" s="40">
        <v>27678372</v>
      </c>
      <c r="X56" s="40">
        <v>27229114</v>
      </c>
      <c r="Y56" s="40">
        <v>26160327</v>
      </c>
      <c r="Z56" s="40">
        <v>26417610</v>
      </c>
      <c r="AA56" s="20"/>
      <c r="AB56" s="20"/>
      <c r="AC56" s="40">
        <v>1360951917</v>
      </c>
      <c r="AD56" s="40">
        <v>600750149</v>
      </c>
      <c r="AE56" s="40">
        <v>313911949</v>
      </c>
      <c r="AF56" s="40">
        <v>323184405</v>
      </c>
      <c r="AG56" s="40">
        <v>317928420</v>
      </c>
      <c r="AH56" s="42">
        <v>318264653</v>
      </c>
      <c r="AI56" s="21"/>
    </row>
    <row r="57" spans="2:35" x14ac:dyDescent="0.2">
      <c r="B57" s="29"/>
      <c r="C57" s="23"/>
      <c r="D57" s="41" t="s">
        <v>26</v>
      </c>
      <c r="E57" s="40">
        <v>1186385</v>
      </c>
      <c r="F57" s="40">
        <v>196485</v>
      </c>
      <c r="G57" s="40">
        <v>272566</v>
      </c>
      <c r="H57" s="40">
        <v>294863</v>
      </c>
      <c r="I57" s="40">
        <v>426632</v>
      </c>
      <c r="J57" s="40">
        <v>258852</v>
      </c>
      <c r="K57" s="20"/>
      <c r="L57" s="20"/>
      <c r="M57" s="40">
        <v>6414946</v>
      </c>
      <c r="N57" s="40">
        <v>1900018</v>
      </c>
      <c r="O57" s="40">
        <v>968045</v>
      </c>
      <c r="P57" s="40">
        <v>995922</v>
      </c>
      <c r="Q57" s="40">
        <v>972840</v>
      </c>
      <c r="R57" s="40">
        <v>971928</v>
      </c>
      <c r="S57" s="20"/>
      <c r="T57" s="20"/>
      <c r="U57" s="40">
        <v>104147605</v>
      </c>
      <c r="V57" s="40">
        <v>49070308</v>
      </c>
      <c r="W57" s="40">
        <v>28238813</v>
      </c>
      <c r="X57" s="40">
        <v>26444426</v>
      </c>
      <c r="Y57" s="40">
        <v>26396954</v>
      </c>
      <c r="Z57" s="40">
        <v>25508874</v>
      </c>
      <c r="AA57" s="20"/>
      <c r="AB57" s="20"/>
      <c r="AC57" s="40">
        <v>1311869126</v>
      </c>
      <c r="AD57" s="40">
        <v>591210476</v>
      </c>
      <c r="AE57" s="40">
        <v>310252343</v>
      </c>
      <c r="AF57" s="40">
        <v>317628318</v>
      </c>
      <c r="AG57" s="40">
        <v>319012501</v>
      </c>
      <c r="AH57" s="42">
        <v>317423006</v>
      </c>
      <c r="AI57" s="21"/>
    </row>
    <row r="58" spans="2:35" x14ac:dyDescent="0.2">
      <c r="B58" s="29"/>
      <c r="C58" s="23"/>
      <c r="D58" s="41" t="s">
        <v>27</v>
      </c>
      <c r="E58" s="40">
        <v>1195758</v>
      </c>
      <c r="F58" s="40">
        <v>213421</v>
      </c>
      <c r="G58" s="40">
        <v>270934</v>
      </c>
      <c r="H58" s="40">
        <v>264383</v>
      </c>
      <c r="I58" s="40">
        <v>440258</v>
      </c>
      <c r="J58" s="40">
        <v>293491</v>
      </c>
      <c r="K58" s="20"/>
      <c r="L58" s="20"/>
      <c r="M58" s="40">
        <v>6137470</v>
      </c>
      <c r="N58" s="40">
        <v>1977325</v>
      </c>
      <c r="O58" s="40">
        <v>1243417</v>
      </c>
      <c r="P58" s="40">
        <v>1022101</v>
      </c>
      <c r="Q58" s="40">
        <v>1047618</v>
      </c>
      <c r="R58" s="40">
        <v>1009745</v>
      </c>
      <c r="S58" s="20"/>
      <c r="T58" s="20"/>
      <c r="U58" s="40">
        <v>107742626</v>
      </c>
      <c r="V58" s="40">
        <v>45507407</v>
      </c>
      <c r="W58" s="40">
        <v>28226363</v>
      </c>
      <c r="X58" s="40">
        <v>24409203</v>
      </c>
      <c r="Y58" s="40">
        <v>26379013</v>
      </c>
      <c r="Z58" s="40">
        <v>27837059</v>
      </c>
      <c r="AA58" s="20"/>
      <c r="AB58" s="20"/>
      <c r="AC58" s="40">
        <v>1461700835</v>
      </c>
      <c r="AD58" s="40">
        <v>607441449</v>
      </c>
      <c r="AE58" s="40">
        <v>320043338</v>
      </c>
      <c r="AF58" s="40">
        <v>339465976</v>
      </c>
      <c r="AG58" s="40">
        <v>315053062</v>
      </c>
      <c r="AH58" s="42">
        <v>317163402</v>
      </c>
      <c r="AI58" s="21"/>
    </row>
    <row r="59" spans="2:35" x14ac:dyDescent="0.2">
      <c r="B59" s="29"/>
      <c r="C59" s="23"/>
      <c r="D59" s="41" t="s">
        <v>28</v>
      </c>
      <c r="E59" s="40">
        <v>1147092</v>
      </c>
      <c r="F59" s="40">
        <v>198053</v>
      </c>
      <c r="G59" s="40">
        <v>262002</v>
      </c>
      <c r="H59" s="40">
        <v>259204</v>
      </c>
      <c r="I59" s="40">
        <v>329573</v>
      </c>
      <c r="J59" s="40">
        <v>268253</v>
      </c>
      <c r="K59" s="20"/>
      <c r="L59" s="20"/>
      <c r="M59" s="40">
        <v>6420069</v>
      </c>
      <c r="N59" s="40">
        <v>1935164</v>
      </c>
      <c r="O59" s="40">
        <v>1361277</v>
      </c>
      <c r="P59" s="40">
        <v>1013451</v>
      </c>
      <c r="Q59" s="40">
        <v>1009637</v>
      </c>
      <c r="R59" s="40">
        <v>1029200</v>
      </c>
      <c r="S59" s="20"/>
      <c r="T59" s="20"/>
      <c r="U59" s="40">
        <v>107415925</v>
      </c>
      <c r="V59" s="40">
        <v>45537394</v>
      </c>
      <c r="W59" s="40">
        <v>28043053</v>
      </c>
      <c r="X59" s="40">
        <v>25587020</v>
      </c>
      <c r="Y59" s="40">
        <v>26497298</v>
      </c>
      <c r="Z59" s="40">
        <v>25846705</v>
      </c>
      <c r="AA59" s="20"/>
      <c r="AB59" s="20"/>
      <c r="AC59" s="40">
        <v>1414207471</v>
      </c>
      <c r="AD59" s="40">
        <v>616657908</v>
      </c>
      <c r="AE59" s="40">
        <v>314550532</v>
      </c>
      <c r="AF59" s="40">
        <v>322982309</v>
      </c>
      <c r="AG59" s="40">
        <v>312310547</v>
      </c>
      <c r="AH59" s="42">
        <v>318521534</v>
      </c>
      <c r="AI59" s="21"/>
    </row>
    <row r="60" spans="2:35" x14ac:dyDescent="0.2">
      <c r="B60" s="29"/>
      <c r="C60" s="23"/>
      <c r="D60" s="41" t="s">
        <v>29</v>
      </c>
      <c r="E60" s="40">
        <v>1225955</v>
      </c>
      <c r="F60" s="40">
        <v>231542</v>
      </c>
      <c r="G60" s="40">
        <v>260286</v>
      </c>
      <c r="H60" s="40">
        <v>312870</v>
      </c>
      <c r="I60" s="40">
        <v>320743</v>
      </c>
      <c r="J60" s="40">
        <v>259406</v>
      </c>
      <c r="K60" s="20"/>
      <c r="L60" s="20"/>
      <c r="M60" s="40">
        <v>6149991</v>
      </c>
      <c r="N60" s="40">
        <v>1854481</v>
      </c>
      <c r="O60" s="40">
        <v>1306669</v>
      </c>
      <c r="P60" s="40">
        <v>1065491</v>
      </c>
      <c r="Q60" s="40">
        <v>1013409</v>
      </c>
      <c r="R60" s="40">
        <v>1029132</v>
      </c>
      <c r="S60" s="20"/>
      <c r="T60" s="20"/>
      <c r="U60" s="40">
        <v>107563003</v>
      </c>
      <c r="V60" s="40">
        <v>44540746</v>
      </c>
      <c r="W60" s="40">
        <v>26689723</v>
      </c>
      <c r="X60" s="40">
        <v>25717972</v>
      </c>
      <c r="Y60" s="40">
        <v>26494097</v>
      </c>
      <c r="Z60" s="40">
        <v>25759781</v>
      </c>
      <c r="AA60" s="20"/>
      <c r="AB60" s="20"/>
      <c r="AC60" s="40">
        <v>1325136795</v>
      </c>
      <c r="AD60" s="40">
        <v>600493490</v>
      </c>
      <c r="AE60" s="40">
        <v>317858033</v>
      </c>
      <c r="AF60" s="40">
        <v>316841921</v>
      </c>
      <c r="AG60" s="40">
        <v>313664165</v>
      </c>
      <c r="AH60" s="42">
        <v>320103698</v>
      </c>
      <c r="AI60" s="21"/>
    </row>
    <row r="61" spans="2:35" x14ac:dyDescent="0.2">
      <c r="B61" s="29"/>
      <c r="C61" s="23"/>
      <c r="D61" s="41" t="s">
        <v>30</v>
      </c>
      <c r="E61" s="40">
        <v>1314320</v>
      </c>
      <c r="F61" s="40">
        <v>206118</v>
      </c>
      <c r="G61" s="40">
        <v>264950</v>
      </c>
      <c r="H61" s="40">
        <v>270113</v>
      </c>
      <c r="I61" s="40">
        <v>353826</v>
      </c>
      <c r="J61" s="40">
        <v>256310</v>
      </c>
      <c r="K61" s="20"/>
      <c r="L61" s="20"/>
      <c r="M61" s="40">
        <v>6537589</v>
      </c>
      <c r="N61" s="40">
        <v>1885176</v>
      </c>
      <c r="O61" s="40">
        <v>1436668</v>
      </c>
      <c r="P61" s="40">
        <v>1024644</v>
      </c>
      <c r="Q61" s="40">
        <v>997755</v>
      </c>
      <c r="R61" s="40">
        <v>1034613</v>
      </c>
      <c r="S61" s="20"/>
      <c r="T61" s="20"/>
      <c r="U61" s="40">
        <v>112145748</v>
      </c>
      <c r="V61" s="40">
        <v>47418365</v>
      </c>
      <c r="W61" s="40">
        <v>27795806</v>
      </c>
      <c r="X61" s="40">
        <v>26047422</v>
      </c>
      <c r="Y61" s="40">
        <v>26639491</v>
      </c>
      <c r="Z61" s="40">
        <v>26701228</v>
      </c>
      <c r="AA61" s="20"/>
      <c r="AB61" s="20"/>
      <c r="AC61" s="40">
        <v>1376157010</v>
      </c>
      <c r="AD61" s="40">
        <v>600502582</v>
      </c>
      <c r="AE61" s="40">
        <v>306020763</v>
      </c>
      <c r="AF61" s="40">
        <v>314731252</v>
      </c>
      <c r="AG61" s="40">
        <v>317071578</v>
      </c>
      <c r="AH61" s="42">
        <v>322845780</v>
      </c>
      <c r="AI61" s="21"/>
    </row>
    <row r="62" spans="2:35" x14ac:dyDescent="0.2">
      <c r="B62" s="29"/>
      <c r="C62" s="23"/>
      <c r="D62" s="41" t="s">
        <v>31</v>
      </c>
      <c r="E62" s="40">
        <v>1218428</v>
      </c>
      <c r="F62" s="40">
        <v>214423</v>
      </c>
      <c r="G62" s="40">
        <v>280006</v>
      </c>
      <c r="H62" s="40">
        <v>263269</v>
      </c>
      <c r="I62" s="40">
        <v>340812</v>
      </c>
      <c r="J62" s="40">
        <v>257035</v>
      </c>
      <c r="K62" s="20"/>
      <c r="L62" s="20"/>
      <c r="M62" s="40">
        <v>4235475</v>
      </c>
      <c r="N62" s="40">
        <v>1955074</v>
      </c>
      <c r="O62" s="40">
        <v>1383677</v>
      </c>
      <c r="P62" s="40">
        <v>1196219</v>
      </c>
      <c r="Q62" s="40">
        <v>993091</v>
      </c>
      <c r="R62" s="40">
        <v>1050115</v>
      </c>
      <c r="S62" s="20"/>
      <c r="T62" s="20"/>
      <c r="U62" s="40">
        <v>109727237</v>
      </c>
      <c r="V62" s="40">
        <v>47571028</v>
      </c>
      <c r="W62" s="40">
        <v>27046990</v>
      </c>
      <c r="X62" s="40">
        <v>26766938</v>
      </c>
      <c r="Y62" s="40">
        <v>26106506</v>
      </c>
      <c r="Z62" s="40">
        <v>25358482</v>
      </c>
      <c r="AA62" s="20"/>
      <c r="AB62" s="20"/>
      <c r="AC62" s="40">
        <v>1390077598</v>
      </c>
      <c r="AD62" s="40">
        <v>603852773</v>
      </c>
      <c r="AE62" s="40">
        <v>336655372</v>
      </c>
      <c r="AF62" s="40">
        <v>314733541</v>
      </c>
      <c r="AG62" s="40">
        <v>318334865</v>
      </c>
      <c r="AH62" s="42">
        <v>317978415</v>
      </c>
      <c r="AI62" s="21"/>
    </row>
    <row r="63" spans="2:35" x14ac:dyDescent="0.2">
      <c r="B63" s="29"/>
      <c r="C63" s="23"/>
      <c r="D63" s="41" t="s">
        <v>32</v>
      </c>
      <c r="E63" s="40">
        <v>1223505</v>
      </c>
      <c r="F63" s="40">
        <v>231010</v>
      </c>
      <c r="G63" s="40">
        <v>278177</v>
      </c>
      <c r="H63" s="40">
        <v>256825</v>
      </c>
      <c r="I63" s="40">
        <v>303756</v>
      </c>
      <c r="J63" s="40">
        <v>266897</v>
      </c>
      <c r="K63" s="20"/>
      <c r="L63" s="20"/>
      <c r="M63" s="40">
        <v>6659765</v>
      </c>
      <c r="N63" s="40">
        <v>1829072</v>
      </c>
      <c r="O63" s="40">
        <v>1486607</v>
      </c>
      <c r="P63" s="40">
        <v>1078601</v>
      </c>
      <c r="Q63" s="40">
        <v>1064922</v>
      </c>
      <c r="R63" s="40">
        <v>1057774</v>
      </c>
      <c r="S63" s="20"/>
      <c r="T63" s="20"/>
      <c r="U63" s="40">
        <v>113808514</v>
      </c>
      <c r="V63" s="40">
        <v>47933217</v>
      </c>
      <c r="W63" s="40">
        <v>26836827</v>
      </c>
      <c r="X63" s="40">
        <v>25909367</v>
      </c>
      <c r="Y63" s="40">
        <v>25424395</v>
      </c>
      <c r="Z63" s="40">
        <v>26612725</v>
      </c>
      <c r="AA63" s="20"/>
      <c r="AB63" s="20"/>
      <c r="AC63" s="40">
        <v>1409682288</v>
      </c>
      <c r="AD63" s="40">
        <v>595255949</v>
      </c>
      <c r="AE63" s="40">
        <v>345919836</v>
      </c>
      <c r="AF63" s="40">
        <v>317312288</v>
      </c>
      <c r="AG63" s="40">
        <v>298344095</v>
      </c>
      <c r="AH63" s="42">
        <v>333539329</v>
      </c>
      <c r="AI63" s="21"/>
    </row>
    <row r="64" spans="2:35" x14ac:dyDescent="0.2">
      <c r="B64" s="29"/>
      <c r="C64" s="23"/>
      <c r="D64" s="41" t="s">
        <v>33</v>
      </c>
      <c r="E64" s="40">
        <v>1066580</v>
      </c>
      <c r="F64" s="40">
        <v>229381</v>
      </c>
      <c r="G64" s="40">
        <v>271500</v>
      </c>
      <c r="H64" s="40">
        <v>258489</v>
      </c>
      <c r="I64" s="40">
        <v>340699</v>
      </c>
      <c r="J64" s="40">
        <v>267665</v>
      </c>
      <c r="K64" s="20"/>
      <c r="L64" s="20"/>
      <c r="M64" s="40">
        <v>5807201</v>
      </c>
      <c r="N64" s="40">
        <v>1841511</v>
      </c>
      <c r="O64" s="40">
        <v>947388</v>
      </c>
      <c r="P64" s="40">
        <v>1100844</v>
      </c>
      <c r="Q64" s="40">
        <v>1048392</v>
      </c>
      <c r="R64" s="40">
        <v>966310</v>
      </c>
      <c r="S64" s="20"/>
      <c r="T64" s="20"/>
      <c r="U64" s="40">
        <v>112214579</v>
      </c>
      <c r="V64" s="40">
        <v>46998832</v>
      </c>
      <c r="W64" s="40">
        <v>26314795</v>
      </c>
      <c r="X64" s="40">
        <v>26375145</v>
      </c>
      <c r="Y64" s="40">
        <v>27181922</v>
      </c>
      <c r="Z64" s="40">
        <v>26180619</v>
      </c>
      <c r="AA64" s="20"/>
      <c r="AB64" s="20"/>
      <c r="AC64" s="40">
        <v>1387247431</v>
      </c>
      <c r="AD64" s="40">
        <v>601474574</v>
      </c>
      <c r="AE64" s="40">
        <v>316636514</v>
      </c>
      <c r="AF64" s="40">
        <v>312214022</v>
      </c>
      <c r="AG64" s="40">
        <v>298266123</v>
      </c>
      <c r="AH64" s="42">
        <v>315350483</v>
      </c>
      <c r="AI64" s="21"/>
    </row>
    <row r="65" spans="2:35" x14ac:dyDescent="0.2">
      <c r="B65" s="29"/>
      <c r="C65" s="23"/>
      <c r="D65" s="41" t="s">
        <v>34</v>
      </c>
      <c r="E65" s="40">
        <v>1254331</v>
      </c>
      <c r="F65" s="40">
        <v>210149</v>
      </c>
      <c r="G65" s="40">
        <v>275266</v>
      </c>
      <c r="H65" s="40">
        <v>254359</v>
      </c>
      <c r="I65" s="40">
        <v>353427</v>
      </c>
      <c r="J65" s="40">
        <v>268141</v>
      </c>
      <c r="K65" s="20"/>
      <c r="L65" s="20"/>
      <c r="M65" s="40">
        <v>4453218</v>
      </c>
      <c r="N65" s="40">
        <v>1872536</v>
      </c>
      <c r="O65" s="40">
        <v>1382404</v>
      </c>
      <c r="P65" s="40">
        <v>1034084</v>
      </c>
      <c r="Q65" s="40">
        <v>1063932</v>
      </c>
      <c r="R65" s="40">
        <v>1037730</v>
      </c>
      <c r="S65" s="20"/>
      <c r="T65" s="20"/>
      <c r="U65" s="40">
        <v>100759992</v>
      </c>
      <c r="V65" s="40">
        <v>45170652</v>
      </c>
      <c r="W65" s="40">
        <v>27224116</v>
      </c>
      <c r="X65" s="40">
        <v>26307511</v>
      </c>
      <c r="Y65" s="40">
        <v>25979570</v>
      </c>
      <c r="Z65" s="40">
        <v>25079780</v>
      </c>
      <c r="AA65" s="20"/>
      <c r="AB65" s="20"/>
      <c r="AC65" s="40">
        <v>1331028984</v>
      </c>
      <c r="AD65" s="40">
        <v>598203486</v>
      </c>
      <c r="AE65" s="40">
        <v>314218891</v>
      </c>
      <c r="AF65" s="40">
        <v>317178300</v>
      </c>
      <c r="AG65" s="40">
        <v>312070898</v>
      </c>
      <c r="AH65" s="42">
        <v>311990057</v>
      </c>
      <c r="AI65" s="21"/>
    </row>
    <row r="66" spans="2:35" x14ac:dyDescent="0.2">
      <c r="B66" s="29"/>
      <c r="C66" s="23"/>
      <c r="D66" s="41" t="s">
        <v>35</v>
      </c>
      <c r="E66" s="40">
        <v>1298766</v>
      </c>
      <c r="F66" s="40">
        <v>239504</v>
      </c>
      <c r="G66" s="40">
        <v>272122</v>
      </c>
      <c r="H66" s="40">
        <v>260183</v>
      </c>
      <c r="I66" s="40">
        <v>346136</v>
      </c>
      <c r="J66" s="40">
        <v>263972</v>
      </c>
      <c r="K66" s="20"/>
      <c r="L66" s="20"/>
      <c r="M66" s="40">
        <v>6126723</v>
      </c>
      <c r="N66" s="40">
        <v>1831238</v>
      </c>
      <c r="O66" s="40">
        <v>1557593</v>
      </c>
      <c r="P66" s="40">
        <v>989236</v>
      </c>
      <c r="Q66" s="40">
        <v>1087783</v>
      </c>
      <c r="R66" s="40">
        <v>1002403</v>
      </c>
      <c r="S66" s="20"/>
      <c r="T66" s="20"/>
      <c r="U66" s="40">
        <v>110508413</v>
      </c>
      <c r="V66" s="40">
        <v>43945390</v>
      </c>
      <c r="W66" s="40">
        <v>28046455</v>
      </c>
      <c r="X66" s="40">
        <v>25461425</v>
      </c>
      <c r="Y66" s="40">
        <v>24558621</v>
      </c>
      <c r="Z66" s="40">
        <v>25914317</v>
      </c>
      <c r="AA66" s="20"/>
      <c r="AB66" s="20"/>
      <c r="AC66" s="40">
        <v>1380858858</v>
      </c>
      <c r="AD66" s="40">
        <v>602454802</v>
      </c>
      <c r="AE66" s="40">
        <v>315452894</v>
      </c>
      <c r="AF66" s="40">
        <v>319031285</v>
      </c>
      <c r="AG66" s="40">
        <v>312907882</v>
      </c>
      <c r="AH66" s="42">
        <v>317218096</v>
      </c>
      <c r="AI66" s="21"/>
    </row>
    <row r="67" spans="2:35" x14ac:dyDescent="0.2">
      <c r="B67" s="29"/>
      <c r="C67" s="23"/>
      <c r="D67" s="41" t="s">
        <v>36</v>
      </c>
      <c r="E67" s="40">
        <v>1140861</v>
      </c>
      <c r="F67" s="40">
        <v>220953</v>
      </c>
      <c r="G67" s="40">
        <v>283550</v>
      </c>
      <c r="H67" s="40">
        <v>277289</v>
      </c>
      <c r="I67" s="40">
        <v>338450</v>
      </c>
      <c r="J67" s="40">
        <v>259171</v>
      </c>
      <c r="K67" s="20"/>
      <c r="L67" s="20"/>
      <c r="M67" s="40">
        <v>4996758</v>
      </c>
      <c r="N67" s="40">
        <v>1803015</v>
      </c>
      <c r="O67" s="40">
        <v>1335229</v>
      </c>
      <c r="P67" s="40">
        <v>996882</v>
      </c>
      <c r="Q67" s="40">
        <v>1011283</v>
      </c>
      <c r="R67" s="40">
        <v>1058453</v>
      </c>
      <c r="S67" s="20"/>
      <c r="T67" s="20"/>
      <c r="U67" s="40">
        <v>108083481</v>
      </c>
      <c r="V67" s="40">
        <v>44677143</v>
      </c>
      <c r="W67" s="40">
        <v>27309643</v>
      </c>
      <c r="X67" s="40">
        <v>26469293</v>
      </c>
      <c r="Y67" s="40">
        <v>25574484</v>
      </c>
      <c r="Z67" s="40">
        <v>25705017</v>
      </c>
      <c r="AA67" s="20"/>
      <c r="AB67" s="20"/>
      <c r="AC67" s="40">
        <v>1374070199</v>
      </c>
      <c r="AD67" s="40">
        <v>651916005</v>
      </c>
      <c r="AE67" s="40">
        <v>310233713</v>
      </c>
      <c r="AF67" s="40">
        <v>315298381</v>
      </c>
      <c r="AG67" s="40">
        <v>314366610</v>
      </c>
      <c r="AH67" s="42">
        <v>318974960</v>
      </c>
      <c r="AI67" s="21"/>
    </row>
    <row r="68" spans="2:35" x14ac:dyDescent="0.2">
      <c r="B68" s="29"/>
      <c r="C68" s="23"/>
      <c r="D68" s="41" t="s">
        <v>37</v>
      </c>
      <c r="E68" s="40">
        <v>1196289</v>
      </c>
      <c r="F68" s="40">
        <v>227407</v>
      </c>
      <c r="G68" s="40">
        <v>275249</v>
      </c>
      <c r="H68" s="40">
        <v>292259</v>
      </c>
      <c r="I68" s="40">
        <v>347684</v>
      </c>
      <c r="J68" s="40">
        <v>263024</v>
      </c>
      <c r="K68" s="20"/>
      <c r="L68" s="20"/>
      <c r="M68" s="40">
        <v>4412359</v>
      </c>
      <c r="N68" s="40">
        <v>1851541</v>
      </c>
      <c r="O68" s="40">
        <v>1338094</v>
      </c>
      <c r="P68" s="40">
        <v>998176</v>
      </c>
      <c r="Q68" s="40">
        <v>1021134</v>
      </c>
      <c r="R68" s="40">
        <v>1004384</v>
      </c>
      <c r="S68" s="20"/>
      <c r="T68" s="20"/>
      <c r="U68" s="40">
        <v>110473798</v>
      </c>
      <c r="V68" s="40">
        <v>43981092</v>
      </c>
      <c r="W68" s="40">
        <v>26495847</v>
      </c>
      <c r="X68" s="40">
        <v>25306061</v>
      </c>
      <c r="Y68" s="40">
        <v>26700453</v>
      </c>
      <c r="Z68" s="40">
        <v>27659090</v>
      </c>
      <c r="AA68" s="20"/>
      <c r="AB68" s="20"/>
      <c r="AC68" s="40">
        <v>1361123644</v>
      </c>
      <c r="AD68" s="40">
        <v>608675651</v>
      </c>
      <c r="AE68" s="40">
        <v>315776600</v>
      </c>
      <c r="AF68" s="40">
        <v>310414512</v>
      </c>
      <c r="AG68" s="40">
        <v>319373307</v>
      </c>
      <c r="AH68" s="42">
        <v>319339821</v>
      </c>
      <c r="AI68" s="21"/>
    </row>
    <row r="69" spans="2:35" x14ac:dyDescent="0.2">
      <c r="B69" s="29"/>
      <c r="C69" s="23"/>
      <c r="D69" s="41" t="s">
        <v>38</v>
      </c>
      <c r="E69" s="40">
        <v>1359338</v>
      </c>
      <c r="F69" s="40">
        <v>207508</v>
      </c>
      <c r="G69" s="40">
        <v>277788</v>
      </c>
      <c r="H69" s="40">
        <v>284136</v>
      </c>
      <c r="I69" s="40">
        <v>303283</v>
      </c>
      <c r="J69" s="40">
        <v>261941</v>
      </c>
      <c r="K69" s="20"/>
      <c r="L69" s="20"/>
      <c r="M69" s="40">
        <v>6395151</v>
      </c>
      <c r="N69" s="40">
        <v>1932874</v>
      </c>
      <c r="O69" s="40">
        <v>1080311</v>
      </c>
      <c r="P69" s="40">
        <v>1097310</v>
      </c>
      <c r="Q69" s="40">
        <v>823248</v>
      </c>
      <c r="R69" s="40">
        <v>1009653</v>
      </c>
      <c r="S69" s="20"/>
      <c r="T69" s="20"/>
      <c r="U69" s="40">
        <v>113898993</v>
      </c>
      <c r="V69" s="40">
        <v>46703483</v>
      </c>
      <c r="W69" s="40">
        <v>27322970</v>
      </c>
      <c r="X69" s="40">
        <v>26022906</v>
      </c>
      <c r="Y69" s="40">
        <v>25972138</v>
      </c>
      <c r="Z69" s="40">
        <v>26497985</v>
      </c>
      <c r="AA69" s="20"/>
      <c r="AB69" s="20"/>
      <c r="AC69" s="40">
        <v>1384073113</v>
      </c>
      <c r="AD69" s="40">
        <v>615428837</v>
      </c>
      <c r="AE69" s="40">
        <v>309013222</v>
      </c>
      <c r="AF69" s="40">
        <v>311426749</v>
      </c>
      <c r="AG69" s="40">
        <v>311808549</v>
      </c>
      <c r="AH69" s="42">
        <v>337221396</v>
      </c>
      <c r="AI69" s="21"/>
    </row>
    <row r="70" spans="2:35" x14ac:dyDescent="0.2">
      <c r="B70" s="29"/>
      <c r="C70" s="23"/>
      <c r="D70" s="41" t="s">
        <v>39</v>
      </c>
      <c r="E70" s="40">
        <v>1073524</v>
      </c>
      <c r="F70" s="40">
        <v>216949</v>
      </c>
      <c r="G70" s="40">
        <v>266637</v>
      </c>
      <c r="H70" s="40">
        <v>269803</v>
      </c>
      <c r="I70" s="40">
        <v>246200</v>
      </c>
      <c r="J70" s="40">
        <v>261417</v>
      </c>
      <c r="K70" s="20"/>
      <c r="L70" s="20"/>
      <c r="M70" s="40">
        <v>6707785</v>
      </c>
      <c r="N70" s="40">
        <v>1879388</v>
      </c>
      <c r="O70" s="40">
        <v>1405228</v>
      </c>
      <c r="P70" s="40">
        <v>1059593</v>
      </c>
      <c r="Q70" s="40">
        <v>1036624</v>
      </c>
      <c r="R70" s="40">
        <v>1055880</v>
      </c>
      <c r="S70" s="20"/>
      <c r="T70" s="20"/>
      <c r="U70" s="40">
        <v>113197437</v>
      </c>
      <c r="V70" s="40">
        <v>45253068</v>
      </c>
      <c r="W70" s="40">
        <v>26374191</v>
      </c>
      <c r="X70" s="40">
        <v>25326785</v>
      </c>
      <c r="Y70" s="40">
        <v>25563021</v>
      </c>
      <c r="Z70" s="40">
        <v>28477903</v>
      </c>
      <c r="AA70" s="20"/>
      <c r="AB70" s="20"/>
      <c r="AC70" s="40">
        <v>1344872539</v>
      </c>
      <c r="AD70" s="40">
        <v>607451699</v>
      </c>
      <c r="AE70" s="40">
        <v>310555479</v>
      </c>
      <c r="AF70" s="40">
        <v>316255122</v>
      </c>
      <c r="AG70" s="40">
        <v>323209016</v>
      </c>
      <c r="AH70" s="42">
        <v>319835935</v>
      </c>
      <c r="AI70" s="21"/>
    </row>
    <row r="71" spans="2:35" ht="16" thickBot="1" x14ac:dyDescent="0.25">
      <c r="B71" s="29"/>
      <c r="C71" s="24"/>
      <c r="D71" s="36" t="s">
        <v>44</v>
      </c>
      <c r="E71" s="25" cm="1">
        <f t="array" ref="E71">ROUND(AVERAGE(IF((ISNUMBER(E41:E70))*(E41:E70&lt;LARGE(E41:E70,2))*(E41:E70&gt;SMALL(E41:E70,2)),E41:E70)),0)</f>
        <v>1200055</v>
      </c>
      <c r="F71" s="25" cm="1">
        <f t="array" ref="F71">ROUND(AVERAGE(IF((ISNUMBER(F41:F70))*(F41:F70&lt;LARGE(F41:F70,2))*(F41:F70&gt;SMALL(F41:F70,2)),F41:F70)),0)</f>
        <v>219231</v>
      </c>
      <c r="G71" s="25" cm="1">
        <f t="array" ref="G71">ROUND(AVERAGE(IF((ISNUMBER(G41:G70))*(G41:G70&lt;LARGE(G41:G70,2))*(G41:G70&gt;SMALL(G41:G70,2)),G41:G70)),0)</f>
        <v>272766</v>
      </c>
      <c r="H71" s="25" cm="1">
        <f t="array" ref="H71">ROUND(AVERAGE(IF((ISNUMBER(H41:H70))*(H41:H70&lt;LARGE(H41:H70,2))*(H41:H70&gt;SMALL(H41:H70,2)),H41:H70)),0)</f>
        <v>270312</v>
      </c>
      <c r="I71" s="25" cm="1">
        <f t="array" ref="I71">ROUND(AVERAGE(IF((ISNUMBER(I41:I70))*(I41:I70&lt;LARGE(I41:I70,2))*(I41:I70&gt;SMALL(I41:I70,2)),I41:I70)),0)</f>
        <v>317989</v>
      </c>
      <c r="J71" s="25" cm="1">
        <f t="array" ref="J71">ROUND(AVERAGE(IF((ISNUMBER(J41:J70))*(J41:J70&lt;LARGE(J41:J70,2))*(J41:J70&gt;SMALL(J41:J70,2)),J41:J70)),0)</f>
        <v>264257</v>
      </c>
      <c r="K71" s="25"/>
      <c r="L71" s="25"/>
      <c r="M71" s="25" cm="1">
        <f t="array" ref="M71">ROUND(AVERAGE(IF((ISNUMBER(M41:M70))*(M41:M70&lt;LARGE(M41:M70,2))*(M41:M70&gt;SMALL(M41:M70,2)),M41:M70)),0)</f>
        <v>5552857</v>
      </c>
      <c r="N71" s="25" cm="1">
        <f t="array" ref="N71">ROUND(AVERAGE(IF((ISNUMBER(N41:N70))*(N41:N70&lt;LARGE(N41:N70,2))*(N41:N70&gt;SMALL(N41:N70,2)),N41:N70)),0)</f>
        <v>1876792</v>
      </c>
      <c r="O71" s="25" cm="1">
        <f t="array" ref="O71">ROUND(AVERAGE(IF((ISNUMBER(O41:O70))*(O41:O70&lt;LARGE(O41:O70,2))*(O41:O70&gt;SMALL(O41:O70,2)),O41:O70)),0)</f>
        <v>1319442</v>
      </c>
      <c r="P71" s="25" cm="1">
        <f t="array" ref="P71">ROUND(AVERAGE(IF((ISNUMBER(P41:P70))*(P41:P70&lt;LARGE(P41:P70,2))*(P41:P70&gt;SMALL(P41:P70,2)),P41:P70)),0)</f>
        <v>1027725</v>
      </c>
      <c r="Q71" s="25" cm="1">
        <f t="array" ref="Q71">ROUND(AVERAGE(IF((ISNUMBER(Q41:Q70))*(Q41:Q70&lt;LARGE(Q41:Q70,2))*(Q41:Q70&gt;SMALL(Q41:Q70,2)),Q41:Q70)),0)</f>
        <v>1024261</v>
      </c>
      <c r="R71" s="25" cm="1">
        <f t="array" ref="R71">ROUND(AVERAGE(IF((ISNUMBER(R41:R70))*(R41:R70&lt;LARGE(R41:R70,2))*(R41:R70&gt;SMALL(R41:R70,2)),R41:R70)),0)</f>
        <v>1010451</v>
      </c>
      <c r="S71" s="25"/>
      <c r="T71" s="25"/>
      <c r="U71" s="25" cm="1">
        <f t="array" ref="U71">ROUND(AVERAGE(IF((ISNUMBER(U41:U70))*(U41:U70&lt;LARGE(U41:U70,2))*(U41:U70&gt;SMALL(U41:U70,2)),U41:U70)),0)</f>
        <v>109510771</v>
      </c>
      <c r="V71" s="25" cm="1">
        <f t="array" ref="V71">ROUND(AVERAGE(IF((ISNUMBER(V41:V70))*(V41:V70&lt;LARGE(V41:V70,2))*(V41:V70&gt;SMALL(V41:V70,2)),V41:V70)),0)</f>
        <v>46646802</v>
      </c>
      <c r="W71" s="25" cm="1">
        <f t="array" ref="W71">ROUND(AVERAGE(IF((ISNUMBER(W41:W70))*(W41:W70&lt;LARGE(W41:W70,2))*(W41:W70&gt;SMALL(W41:W70,2)),W41:W70)),0)</f>
        <v>27060705</v>
      </c>
      <c r="X71" s="25" cm="1">
        <f t="array" ref="X71">ROUND(AVERAGE(IF((ISNUMBER(X41:X70))*(X41:X70&lt;LARGE(X41:X70,2))*(X41:X70&gt;SMALL(X41:X70,2)),X41:X70)),0)</f>
        <v>26061713</v>
      </c>
      <c r="Y71" s="25" cm="1">
        <f t="array" ref="Y71">ROUND(AVERAGE(IF((ISNUMBER(Y41:Y70))*(Y41:Y70&lt;LARGE(Y41:Y70,2))*(Y41:Y70&gt;SMALL(Y41:Y70,2)),Y41:Y70)),0)</f>
        <v>26225596</v>
      </c>
      <c r="Z71" s="25" cm="1">
        <f t="array" ref="Z71">ROUND(AVERAGE(IF((ISNUMBER(Z41:Z70))*(Z41:Z70&lt;LARGE(Z41:Z70,2))*(Z41:Z70&gt;SMALL(Z41:Z70,2)),Z41:Z70)),0)</f>
        <v>26327859</v>
      </c>
      <c r="AA71" s="25"/>
      <c r="AB71" s="25"/>
      <c r="AC71" s="25" cm="1">
        <f t="array" ref="AC71">ROUND(AVERAGE(IF((ISNUMBER(AC41:AC70))*(AC41:AC70&lt;LARGE(AC41:AC70,2))*(AC41:AC70&gt;SMALL(AC41:AC70,2)),AC41:AC70)),0)</f>
        <v>1347066254</v>
      </c>
      <c r="AD71" s="25" cm="1">
        <f t="array" ref="AD71">ROUND(AVERAGE(IF((ISNUMBER(AD41:AD70))*(AD41:AD70&lt;LARGE(AD41:AD70,2))*(AD41:AD70&gt;SMALL(AD41:AD70,2)),AD41:AD70)),0)</f>
        <v>604985583</v>
      </c>
      <c r="AE71" s="25" cm="1">
        <f t="array" ref="AE71">ROUND(AVERAGE(IF((ISNUMBER(AE41:AE70))*(AE41:AE70&lt;LARGE(AE41:AE70,2))*(AE41:AE70&gt;SMALL(AE41:AE70,2)),AE41:AE70)),0)</f>
        <v>314976590</v>
      </c>
      <c r="AF71" s="25" cm="1">
        <f t="array" ref="AF71">ROUND(AVERAGE(IF((ISNUMBER(AF41:AF70))*(AF41:AF70&lt;LARGE(AF41:AF70,2))*(AF41:AF70&gt;SMALL(AF41:AF70,2)),AF41:AF70)),0)</f>
        <v>315874224</v>
      </c>
      <c r="AG71" s="25" cm="1">
        <f t="array" ref="AG71">ROUND(AVERAGE(IF((ISNUMBER(AG41:AG70))*(AG41:AG70&lt;LARGE(AG41:AG70,2))*(AG41:AG70&gt;SMALL(AG41:AG70,2)),AG41:AG70)),0)</f>
        <v>328402385</v>
      </c>
      <c r="AH71" s="25" cm="1">
        <f t="array" ref="AH71">ROUND(AVERAGE(IF((ISNUMBER(AH41:AH70))*(AH41:AH70&lt;LARGE(AH41:AH70,2))*(AH41:AH70&gt;SMALL(AH41:AH70,2)),AH41:AH70)),0)</f>
        <v>320410342</v>
      </c>
      <c r="AI71" s="21"/>
    </row>
    <row r="72" spans="2:35" ht="16" thickBot="1" x14ac:dyDescent="0.25">
      <c r="B72" s="30"/>
      <c r="C72" s="27"/>
      <c r="D72" s="3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8"/>
    </row>
    <row r="73" spans="2:35" ht="16" thickBot="1" x14ac:dyDescent="0.25">
      <c r="B73" s="31"/>
      <c r="D73" s="1"/>
    </row>
    <row r="74" spans="2:35" ht="37" x14ac:dyDescent="0.45">
      <c r="B74" s="32" t="s">
        <v>42</v>
      </c>
      <c r="C74" s="15"/>
      <c r="D74" s="3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/>
    </row>
    <row r="75" spans="2:35" ht="16" thickBot="1" x14ac:dyDescent="0.25">
      <c r="B75" s="33"/>
      <c r="C75" s="19"/>
      <c r="D75" s="3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</row>
    <row r="76" spans="2:35" x14ac:dyDescent="0.2">
      <c r="B76" s="29"/>
      <c r="C76" s="43" t="s">
        <v>0</v>
      </c>
      <c r="D76" s="34"/>
      <c r="E76" s="34" t="s">
        <v>1</v>
      </c>
      <c r="F76" s="34" t="s">
        <v>2</v>
      </c>
      <c r="G76" s="34" t="s">
        <v>3</v>
      </c>
      <c r="H76" s="34" t="s">
        <v>4</v>
      </c>
      <c r="I76" s="34" t="s">
        <v>5</v>
      </c>
      <c r="J76" s="34" t="s">
        <v>6</v>
      </c>
      <c r="K76" s="45" t="s">
        <v>7</v>
      </c>
      <c r="L76" s="45"/>
      <c r="M76" s="34" t="s">
        <v>1</v>
      </c>
      <c r="N76" s="34" t="s">
        <v>2</v>
      </c>
      <c r="O76" s="34" t="s">
        <v>3</v>
      </c>
      <c r="P76" s="34" t="s">
        <v>4</v>
      </c>
      <c r="Q76" s="34" t="s">
        <v>5</v>
      </c>
      <c r="R76" s="34" t="s">
        <v>6</v>
      </c>
      <c r="S76" s="45" t="s">
        <v>8</v>
      </c>
      <c r="T76" s="45"/>
      <c r="U76" s="34" t="s">
        <v>1</v>
      </c>
      <c r="V76" s="34" t="s">
        <v>2</v>
      </c>
      <c r="W76" s="34" t="s">
        <v>3</v>
      </c>
      <c r="X76" s="34" t="s">
        <v>4</v>
      </c>
      <c r="Y76" s="34" t="s">
        <v>5</v>
      </c>
      <c r="Z76" s="34" t="s">
        <v>6</v>
      </c>
      <c r="AA76" s="45" t="s">
        <v>9</v>
      </c>
      <c r="AB76" s="45"/>
      <c r="AC76" s="34" t="s">
        <v>1</v>
      </c>
      <c r="AD76" s="34" t="s">
        <v>2</v>
      </c>
      <c r="AE76" s="34" t="s">
        <v>3</v>
      </c>
      <c r="AF76" s="34" t="s">
        <v>4</v>
      </c>
      <c r="AG76" s="34" t="s">
        <v>5</v>
      </c>
      <c r="AH76" s="35" t="s">
        <v>6</v>
      </c>
      <c r="AI76" s="21"/>
    </row>
    <row r="77" spans="2:35" x14ac:dyDescent="0.2">
      <c r="B77" s="29"/>
      <c r="C77" s="23"/>
      <c r="D77" s="41" t="s">
        <v>10</v>
      </c>
      <c r="E77" s="40">
        <v>2638742</v>
      </c>
      <c r="F77" s="40">
        <v>498778</v>
      </c>
      <c r="G77" s="40">
        <v>599450</v>
      </c>
      <c r="H77" s="40">
        <v>580093</v>
      </c>
      <c r="I77" s="40">
        <v>584246</v>
      </c>
      <c r="J77" s="40">
        <v>601816</v>
      </c>
      <c r="K77" s="20"/>
      <c r="L77" s="20"/>
      <c r="M77" s="40">
        <v>21271681</v>
      </c>
      <c r="N77" s="40">
        <v>4839485</v>
      </c>
      <c r="O77" s="40">
        <v>5165450</v>
      </c>
      <c r="P77" s="40">
        <v>2558964</v>
      </c>
      <c r="Q77" s="40">
        <v>3292535</v>
      </c>
      <c r="R77" s="40">
        <v>3334031</v>
      </c>
      <c r="S77" s="20"/>
      <c r="T77" s="20"/>
      <c r="U77" s="40">
        <v>126559745</v>
      </c>
      <c r="V77" s="40">
        <v>54907157</v>
      </c>
      <c r="W77" s="40">
        <v>30515696</v>
      </c>
      <c r="X77" s="40">
        <v>30140872</v>
      </c>
      <c r="Y77" s="40">
        <v>31043340</v>
      </c>
      <c r="Z77" s="40">
        <v>32592443</v>
      </c>
      <c r="AA77" s="20"/>
      <c r="AB77" s="20"/>
      <c r="AC77" s="40">
        <v>1251267741</v>
      </c>
      <c r="AD77" s="40">
        <v>661764615</v>
      </c>
      <c r="AE77" s="40">
        <v>328371405</v>
      </c>
      <c r="AF77" s="40">
        <v>322375643</v>
      </c>
      <c r="AG77" s="40">
        <v>329857068</v>
      </c>
      <c r="AH77" s="42">
        <v>337276606</v>
      </c>
      <c r="AI77" s="21"/>
    </row>
    <row r="78" spans="2:35" x14ac:dyDescent="0.2">
      <c r="B78" s="29"/>
      <c r="C78" s="23"/>
      <c r="D78" s="41" t="s">
        <v>11</v>
      </c>
      <c r="E78" s="40">
        <v>2587036</v>
      </c>
      <c r="F78" s="40">
        <v>466629</v>
      </c>
      <c r="G78" s="40">
        <v>593879</v>
      </c>
      <c r="H78" s="40">
        <v>644574</v>
      </c>
      <c r="I78" s="40">
        <v>595827</v>
      </c>
      <c r="J78" s="40">
        <v>589442</v>
      </c>
      <c r="K78" s="20"/>
      <c r="L78" s="20"/>
      <c r="M78" s="40">
        <v>18147444</v>
      </c>
      <c r="N78" s="40">
        <v>4836268</v>
      </c>
      <c r="O78" s="40">
        <v>5163653</v>
      </c>
      <c r="P78" s="40">
        <v>3384202</v>
      </c>
      <c r="Q78" s="40">
        <v>3387705</v>
      </c>
      <c r="R78" s="40">
        <v>3257281</v>
      </c>
      <c r="S78" s="20"/>
      <c r="T78" s="20"/>
      <c r="U78" s="40">
        <v>142872096</v>
      </c>
      <c r="V78" s="40">
        <v>48020905</v>
      </c>
      <c r="W78" s="40">
        <v>33912141</v>
      </c>
      <c r="X78" s="40">
        <v>31388964</v>
      </c>
      <c r="Y78" s="40">
        <v>30768999</v>
      </c>
      <c r="Z78" s="40">
        <v>34331277</v>
      </c>
      <c r="AA78" s="20"/>
      <c r="AB78" s="20"/>
      <c r="AC78" s="40">
        <v>1363103545</v>
      </c>
      <c r="AD78" s="40">
        <v>638838032</v>
      </c>
      <c r="AE78" s="40">
        <v>325266336</v>
      </c>
      <c r="AF78" s="40">
        <v>327074368</v>
      </c>
      <c r="AG78" s="40">
        <v>324802063</v>
      </c>
      <c r="AH78" s="42">
        <v>339900977</v>
      </c>
      <c r="AI78" s="21"/>
    </row>
    <row r="79" spans="2:35" x14ac:dyDescent="0.2">
      <c r="B79" s="29"/>
      <c r="C79" s="23"/>
      <c r="D79" s="41" t="s">
        <v>12</v>
      </c>
      <c r="E79" s="40">
        <v>2791564</v>
      </c>
      <c r="F79" s="40">
        <v>480657</v>
      </c>
      <c r="G79" s="40">
        <v>584879</v>
      </c>
      <c r="H79" s="40">
        <v>600660</v>
      </c>
      <c r="I79" s="40">
        <v>595020</v>
      </c>
      <c r="J79" s="40">
        <v>587237</v>
      </c>
      <c r="K79" s="20"/>
      <c r="L79" s="20"/>
      <c r="M79" s="40">
        <v>21294569</v>
      </c>
      <c r="N79" s="40">
        <v>4778663</v>
      </c>
      <c r="O79" s="40">
        <v>5045172</v>
      </c>
      <c r="P79" s="40">
        <v>3608108</v>
      </c>
      <c r="Q79" s="40">
        <v>3370558</v>
      </c>
      <c r="R79" s="40">
        <v>3119166</v>
      </c>
      <c r="S79" s="20"/>
      <c r="T79" s="20"/>
      <c r="U79" s="40">
        <v>145590254</v>
      </c>
      <c r="V79" s="40">
        <v>53122614</v>
      </c>
      <c r="W79" s="40">
        <v>33361684</v>
      </c>
      <c r="X79" s="40">
        <v>30310626</v>
      </c>
      <c r="Y79" s="40">
        <v>31134211</v>
      </c>
      <c r="Z79" s="40">
        <v>30975293</v>
      </c>
      <c r="AA79" s="20"/>
      <c r="AB79" s="20"/>
      <c r="AC79" s="40">
        <v>1402002278</v>
      </c>
      <c r="AD79" s="40">
        <v>623234598</v>
      </c>
      <c r="AE79" s="40">
        <v>322159686</v>
      </c>
      <c r="AF79" s="40">
        <v>327384787</v>
      </c>
      <c r="AG79" s="40">
        <v>323109870</v>
      </c>
      <c r="AH79" s="42">
        <v>344423761</v>
      </c>
      <c r="AI79" s="21"/>
    </row>
    <row r="80" spans="2:35" x14ac:dyDescent="0.2">
      <c r="B80" s="29"/>
      <c r="C80" s="23"/>
      <c r="D80" s="41" t="s">
        <v>13</v>
      </c>
      <c r="E80" s="40">
        <v>2770775</v>
      </c>
      <c r="F80" s="40">
        <v>476426</v>
      </c>
      <c r="G80" s="40">
        <v>763180</v>
      </c>
      <c r="H80" s="40">
        <v>626142</v>
      </c>
      <c r="I80" s="40">
        <v>590777</v>
      </c>
      <c r="J80" s="40">
        <v>599040</v>
      </c>
      <c r="K80" s="20"/>
      <c r="L80" s="20"/>
      <c r="M80" s="40">
        <v>19204692</v>
      </c>
      <c r="N80" s="40">
        <v>4792658</v>
      </c>
      <c r="O80" s="40">
        <v>5187715</v>
      </c>
      <c r="P80" s="40">
        <v>3471672</v>
      </c>
      <c r="Q80" s="40">
        <v>3369535</v>
      </c>
      <c r="R80" s="40">
        <v>3066888</v>
      </c>
      <c r="S80" s="20"/>
      <c r="T80" s="20"/>
      <c r="U80" s="40">
        <v>142984284</v>
      </c>
      <c r="V80" s="40">
        <v>52752799</v>
      </c>
      <c r="W80" s="40">
        <v>32272517</v>
      </c>
      <c r="X80" s="40">
        <v>29525498</v>
      </c>
      <c r="Y80" s="40">
        <v>30765773</v>
      </c>
      <c r="Z80" s="40">
        <v>34015227</v>
      </c>
      <c r="AA80" s="20"/>
      <c r="AB80" s="20"/>
      <c r="AC80" s="40">
        <v>1411271108</v>
      </c>
      <c r="AD80" s="40">
        <v>617437671</v>
      </c>
      <c r="AE80" s="40">
        <v>322552688</v>
      </c>
      <c r="AF80" s="40">
        <v>326257040</v>
      </c>
      <c r="AG80" s="40">
        <v>325372972</v>
      </c>
      <c r="AH80" s="42">
        <v>339474460</v>
      </c>
      <c r="AI80" s="21"/>
    </row>
    <row r="81" spans="2:35" x14ac:dyDescent="0.2">
      <c r="B81" s="29"/>
      <c r="C81" s="23"/>
      <c r="D81" s="41" t="s">
        <v>14</v>
      </c>
      <c r="E81" s="40">
        <v>2584759</v>
      </c>
      <c r="F81" s="40">
        <v>460912</v>
      </c>
      <c r="G81" s="40">
        <v>638798</v>
      </c>
      <c r="H81" s="40">
        <v>607204</v>
      </c>
      <c r="I81" s="40">
        <v>603093</v>
      </c>
      <c r="J81" s="40">
        <v>593372</v>
      </c>
      <c r="K81" s="20"/>
      <c r="L81" s="20"/>
      <c r="M81" s="40">
        <v>17492025</v>
      </c>
      <c r="N81" s="40">
        <v>4819695</v>
      </c>
      <c r="O81" s="40">
        <v>5219541</v>
      </c>
      <c r="P81" s="40">
        <v>3533634</v>
      </c>
      <c r="Q81" s="40">
        <v>3289820</v>
      </c>
      <c r="R81" s="40">
        <v>3093570</v>
      </c>
      <c r="S81" s="20"/>
      <c r="T81" s="20"/>
      <c r="U81" s="40">
        <v>131048090</v>
      </c>
      <c r="V81" s="40">
        <v>51430582</v>
      </c>
      <c r="W81" s="40">
        <v>31799507</v>
      </c>
      <c r="X81" s="40">
        <v>28750785</v>
      </c>
      <c r="Y81" s="40">
        <v>31476772</v>
      </c>
      <c r="Z81" s="40">
        <v>32505632</v>
      </c>
      <c r="AA81" s="20"/>
      <c r="AB81" s="20"/>
      <c r="AC81" s="40">
        <v>1358320469</v>
      </c>
      <c r="AD81" s="40">
        <v>623906228</v>
      </c>
      <c r="AE81" s="40">
        <v>322195739</v>
      </c>
      <c r="AF81" s="40">
        <v>325715458</v>
      </c>
      <c r="AG81" s="40">
        <v>324828881</v>
      </c>
      <c r="AH81" s="42">
        <v>378302076</v>
      </c>
      <c r="AI81" s="21"/>
    </row>
    <row r="82" spans="2:35" x14ac:dyDescent="0.2">
      <c r="B82" s="29"/>
      <c r="C82" s="23"/>
      <c r="D82" s="41" t="s">
        <v>15</v>
      </c>
      <c r="E82" s="40">
        <v>2688418</v>
      </c>
      <c r="F82" s="40">
        <v>472327</v>
      </c>
      <c r="G82" s="40">
        <v>593895</v>
      </c>
      <c r="H82" s="40">
        <v>597766</v>
      </c>
      <c r="I82" s="40">
        <v>603241</v>
      </c>
      <c r="J82" s="40">
        <v>612756</v>
      </c>
      <c r="K82" s="20"/>
      <c r="L82" s="20"/>
      <c r="M82" s="40">
        <v>17767399</v>
      </c>
      <c r="N82" s="40">
        <v>4841903</v>
      </c>
      <c r="O82" s="40">
        <v>5192216</v>
      </c>
      <c r="P82" s="40">
        <v>2512273</v>
      </c>
      <c r="Q82" s="40">
        <v>3347734</v>
      </c>
      <c r="R82" s="40">
        <v>3164732</v>
      </c>
      <c r="S82" s="20"/>
      <c r="T82" s="20"/>
      <c r="U82" s="40">
        <v>147133175</v>
      </c>
      <c r="V82" s="40">
        <v>51911722</v>
      </c>
      <c r="W82" s="40">
        <v>34917628</v>
      </c>
      <c r="X82" s="40">
        <v>32277564</v>
      </c>
      <c r="Y82" s="40">
        <v>32106108</v>
      </c>
      <c r="Z82" s="40">
        <v>31906024</v>
      </c>
      <c r="AA82" s="20"/>
      <c r="AB82" s="20"/>
      <c r="AC82" s="40">
        <v>1359476266</v>
      </c>
      <c r="AD82" s="40">
        <v>628413848</v>
      </c>
      <c r="AE82" s="40">
        <v>326236592</v>
      </c>
      <c r="AF82" s="40">
        <v>326097090</v>
      </c>
      <c r="AG82" s="40">
        <v>329806731</v>
      </c>
      <c r="AH82" s="42">
        <v>354984829</v>
      </c>
      <c r="AI82" s="21"/>
    </row>
    <row r="83" spans="2:35" x14ac:dyDescent="0.2">
      <c r="B83" s="29"/>
      <c r="C83" s="23"/>
      <c r="D83" s="41" t="s">
        <v>16</v>
      </c>
      <c r="E83" s="40">
        <v>2646645</v>
      </c>
      <c r="F83" s="40">
        <v>506941</v>
      </c>
      <c r="G83" s="40">
        <v>621836</v>
      </c>
      <c r="H83" s="40">
        <v>602718</v>
      </c>
      <c r="I83" s="40">
        <v>605525</v>
      </c>
      <c r="J83" s="40">
        <v>599155</v>
      </c>
      <c r="K83" s="20"/>
      <c r="L83" s="20"/>
      <c r="M83" s="40">
        <v>21067164</v>
      </c>
      <c r="N83" s="40">
        <v>4930942</v>
      </c>
      <c r="O83" s="40">
        <v>5143002</v>
      </c>
      <c r="P83" s="40">
        <v>3544825</v>
      </c>
      <c r="Q83" s="40">
        <v>3263557</v>
      </c>
      <c r="R83" s="40">
        <v>3236201</v>
      </c>
      <c r="S83" s="20"/>
      <c r="T83" s="20"/>
      <c r="U83" s="40">
        <v>158563607</v>
      </c>
      <c r="V83" s="40">
        <v>50799338</v>
      </c>
      <c r="W83" s="40">
        <v>33407931</v>
      </c>
      <c r="X83" s="40">
        <v>31280712</v>
      </c>
      <c r="Y83" s="40">
        <v>29997543</v>
      </c>
      <c r="Z83" s="40">
        <v>35291229</v>
      </c>
      <c r="AA83" s="20"/>
      <c r="AB83" s="20"/>
      <c r="AC83" s="40">
        <v>1393232085</v>
      </c>
      <c r="AD83" s="40">
        <v>629620231</v>
      </c>
      <c r="AE83" s="40">
        <v>336770196</v>
      </c>
      <c r="AF83" s="40">
        <v>323484137</v>
      </c>
      <c r="AG83" s="40">
        <v>943811839</v>
      </c>
      <c r="AH83" s="42">
        <v>344536613</v>
      </c>
      <c r="AI83" s="21"/>
    </row>
    <row r="84" spans="2:35" x14ac:dyDescent="0.2">
      <c r="B84" s="29"/>
      <c r="C84" s="23"/>
      <c r="D84" s="41" t="s">
        <v>17</v>
      </c>
      <c r="E84" s="40">
        <v>2523981</v>
      </c>
      <c r="F84" s="40">
        <v>462373</v>
      </c>
      <c r="G84" s="40">
        <v>612251</v>
      </c>
      <c r="H84" s="40">
        <v>604250</v>
      </c>
      <c r="I84" s="40">
        <v>590689</v>
      </c>
      <c r="J84" s="40">
        <v>604857</v>
      </c>
      <c r="K84" s="20"/>
      <c r="L84" s="20"/>
      <c r="M84" s="40">
        <v>19292816</v>
      </c>
      <c r="N84" s="40">
        <v>4845651</v>
      </c>
      <c r="O84" s="40">
        <v>4095923</v>
      </c>
      <c r="P84" s="40">
        <v>3503647</v>
      </c>
      <c r="Q84" s="40">
        <v>3410558</v>
      </c>
      <c r="R84" s="40">
        <v>3103197</v>
      </c>
      <c r="S84" s="20"/>
      <c r="T84" s="20"/>
      <c r="U84" s="40">
        <v>146218077</v>
      </c>
      <c r="V84" s="40">
        <v>50524348</v>
      </c>
      <c r="W84" s="40">
        <v>32925415</v>
      </c>
      <c r="X84" s="40">
        <v>31061963</v>
      </c>
      <c r="Y84" s="40">
        <v>30098260</v>
      </c>
      <c r="Z84" s="40">
        <v>33132400</v>
      </c>
      <c r="AA84" s="20"/>
      <c r="AB84" s="20"/>
      <c r="AC84" s="40">
        <v>1424282845</v>
      </c>
      <c r="AD84" s="40">
        <v>620104695</v>
      </c>
      <c r="AE84" s="40">
        <v>311205940</v>
      </c>
      <c r="AF84" s="40">
        <v>329388862</v>
      </c>
      <c r="AG84" s="40">
        <v>554786049</v>
      </c>
      <c r="AH84" s="42">
        <v>341869904</v>
      </c>
      <c r="AI84" s="21"/>
    </row>
    <row r="85" spans="2:35" x14ac:dyDescent="0.2">
      <c r="B85" s="29"/>
      <c r="C85" s="23"/>
      <c r="D85" s="41" t="s">
        <v>18</v>
      </c>
      <c r="E85" s="40">
        <v>2468093</v>
      </c>
      <c r="F85" s="40">
        <v>467402</v>
      </c>
      <c r="G85" s="40">
        <v>591654</v>
      </c>
      <c r="H85" s="40">
        <v>573707</v>
      </c>
      <c r="I85" s="40">
        <v>621239</v>
      </c>
      <c r="J85" s="40">
        <v>603852</v>
      </c>
      <c r="K85" s="20"/>
      <c r="L85" s="20"/>
      <c r="M85" s="40">
        <v>17798454</v>
      </c>
      <c r="N85" s="40">
        <v>4905769</v>
      </c>
      <c r="O85" s="40">
        <v>5175383</v>
      </c>
      <c r="P85" s="40">
        <v>3600806</v>
      </c>
      <c r="Q85" s="40">
        <v>3365507</v>
      </c>
      <c r="R85" s="40">
        <v>3251331</v>
      </c>
      <c r="S85" s="20"/>
      <c r="T85" s="20"/>
      <c r="U85" s="40">
        <v>153284245</v>
      </c>
      <c r="V85" s="40">
        <v>54663408</v>
      </c>
      <c r="W85" s="40">
        <v>33991673</v>
      </c>
      <c r="X85" s="40">
        <v>30786540</v>
      </c>
      <c r="Y85" s="40">
        <v>30109227</v>
      </c>
      <c r="Z85" s="40">
        <v>30853028</v>
      </c>
      <c r="AA85" s="20"/>
      <c r="AB85" s="20"/>
      <c r="AC85" s="40">
        <v>1396044433</v>
      </c>
      <c r="AD85" s="40">
        <v>630083485</v>
      </c>
      <c r="AE85" s="40">
        <v>320334633</v>
      </c>
      <c r="AF85" s="40">
        <v>321938672</v>
      </c>
      <c r="AG85" s="40">
        <v>396711270</v>
      </c>
      <c r="AH85" s="42">
        <v>337349804</v>
      </c>
      <c r="AI85" s="21"/>
    </row>
    <row r="86" spans="2:35" x14ac:dyDescent="0.2">
      <c r="B86" s="29"/>
      <c r="C86" s="23"/>
      <c r="D86" s="41" t="s">
        <v>19</v>
      </c>
      <c r="E86" s="40">
        <v>2787096</v>
      </c>
      <c r="F86" s="40">
        <v>469786</v>
      </c>
      <c r="G86" s="40">
        <v>597127</v>
      </c>
      <c r="H86" s="40">
        <v>591800</v>
      </c>
      <c r="I86" s="40">
        <v>650367</v>
      </c>
      <c r="J86" s="40">
        <v>585455</v>
      </c>
      <c r="K86" s="20"/>
      <c r="L86" s="20"/>
      <c r="M86" s="40">
        <v>16382546</v>
      </c>
      <c r="N86" s="40">
        <v>4743597</v>
      </c>
      <c r="O86" s="40">
        <v>5237938</v>
      </c>
      <c r="P86" s="40">
        <v>3626826</v>
      </c>
      <c r="Q86" s="40">
        <v>3463649</v>
      </c>
      <c r="R86" s="40">
        <v>3239711</v>
      </c>
      <c r="S86" s="20"/>
      <c r="T86" s="20"/>
      <c r="U86" s="40">
        <v>143214974</v>
      </c>
      <c r="V86" s="40">
        <v>52689566</v>
      </c>
      <c r="W86" s="40">
        <v>32426428</v>
      </c>
      <c r="X86" s="40">
        <v>30378732</v>
      </c>
      <c r="Y86" s="40">
        <v>31409949</v>
      </c>
      <c r="Z86" s="40">
        <v>31436650</v>
      </c>
      <c r="AA86" s="20"/>
      <c r="AB86" s="20"/>
      <c r="AC86" s="40">
        <v>1374823842</v>
      </c>
      <c r="AD86" s="40">
        <v>615465940</v>
      </c>
      <c r="AE86" s="40">
        <v>321705667</v>
      </c>
      <c r="AF86" s="40">
        <v>323169244</v>
      </c>
      <c r="AG86" s="40">
        <v>373294917</v>
      </c>
      <c r="AH86" s="42">
        <v>341656213</v>
      </c>
      <c r="AI86" s="21"/>
    </row>
    <row r="87" spans="2:35" x14ac:dyDescent="0.2">
      <c r="B87" s="29"/>
      <c r="C87" s="23"/>
      <c r="D87" s="41" t="s">
        <v>20</v>
      </c>
      <c r="E87" s="40">
        <v>2586313</v>
      </c>
      <c r="F87" s="40">
        <v>462171</v>
      </c>
      <c r="G87" s="40">
        <v>618725</v>
      </c>
      <c r="H87" s="40">
        <v>659242</v>
      </c>
      <c r="I87" s="40">
        <v>644391</v>
      </c>
      <c r="J87" s="40">
        <v>598712</v>
      </c>
      <c r="K87" s="20"/>
      <c r="L87" s="20"/>
      <c r="M87" s="40">
        <v>21437896</v>
      </c>
      <c r="N87" s="40">
        <v>4774342</v>
      </c>
      <c r="O87" s="40">
        <v>5133116</v>
      </c>
      <c r="P87" s="40">
        <v>3591186</v>
      </c>
      <c r="Q87" s="40">
        <v>3257555</v>
      </c>
      <c r="R87" s="40">
        <v>3311676</v>
      </c>
      <c r="S87" s="20"/>
      <c r="T87" s="20"/>
      <c r="U87" s="40">
        <v>150245473</v>
      </c>
      <c r="V87" s="40">
        <v>55206357</v>
      </c>
      <c r="W87" s="40">
        <v>32598055</v>
      </c>
      <c r="X87" s="40">
        <v>31677479</v>
      </c>
      <c r="Y87" s="40">
        <v>30480783</v>
      </c>
      <c r="Z87" s="40">
        <v>31978733</v>
      </c>
      <c r="AA87" s="20"/>
      <c r="AB87" s="20"/>
      <c r="AC87" s="40">
        <v>1435422826</v>
      </c>
      <c r="AD87" s="40">
        <v>625498673</v>
      </c>
      <c r="AE87" s="40">
        <v>321105158</v>
      </c>
      <c r="AF87" s="40">
        <v>318719024</v>
      </c>
      <c r="AG87" s="40">
        <v>399495724</v>
      </c>
      <c r="AH87" s="42">
        <v>336061048</v>
      </c>
      <c r="AI87" s="21"/>
    </row>
    <row r="88" spans="2:35" x14ac:dyDescent="0.2">
      <c r="B88" s="29"/>
      <c r="C88" s="23"/>
      <c r="D88" s="41" t="s">
        <v>21</v>
      </c>
      <c r="E88" s="40">
        <v>2618044</v>
      </c>
      <c r="F88" s="40">
        <v>456833</v>
      </c>
      <c r="G88" s="40">
        <v>609481</v>
      </c>
      <c r="H88" s="40">
        <v>603248</v>
      </c>
      <c r="I88" s="40">
        <v>609285</v>
      </c>
      <c r="J88" s="40">
        <v>630888</v>
      </c>
      <c r="K88" s="20"/>
      <c r="L88" s="20"/>
      <c r="M88" s="40">
        <v>17104631</v>
      </c>
      <c r="N88" s="40">
        <v>4862485</v>
      </c>
      <c r="O88" s="40">
        <v>4417166</v>
      </c>
      <c r="P88" s="40">
        <v>3465875</v>
      </c>
      <c r="Q88" s="40">
        <v>3503493</v>
      </c>
      <c r="R88" s="40">
        <v>3059988</v>
      </c>
      <c r="S88" s="20"/>
      <c r="T88" s="20"/>
      <c r="U88" s="40">
        <v>139678339</v>
      </c>
      <c r="V88" s="40">
        <v>57281590</v>
      </c>
      <c r="W88" s="40">
        <v>32185169</v>
      </c>
      <c r="X88" s="40">
        <v>33164259</v>
      </c>
      <c r="Y88" s="40">
        <v>28587155</v>
      </c>
      <c r="Z88" s="40">
        <v>32668587</v>
      </c>
      <c r="AA88" s="20"/>
      <c r="AB88" s="20"/>
      <c r="AC88" s="40">
        <v>1404686991</v>
      </c>
      <c r="AD88" s="40">
        <v>630966219</v>
      </c>
      <c r="AE88" s="40">
        <v>331633754</v>
      </c>
      <c r="AF88" s="40">
        <v>324585045</v>
      </c>
      <c r="AG88" s="40">
        <v>366279889</v>
      </c>
      <c r="AH88" s="42">
        <v>339388192</v>
      </c>
      <c r="AI88" s="21"/>
    </row>
    <row r="89" spans="2:35" x14ac:dyDescent="0.2">
      <c r="B89" s="29"/>
      <c r="C89" s="23"/>
      <c r="D89" s="41" t="s">
        <v>22</v>
      </c>
      <c r="E89" s="40">
        <v>2423651</v>
      </c>
      <c r="F89" s="40">
        <v>464232</v>
      </c>
      <c r="G89" s="40">
        <v>605398</v>
      </c>
      <c r="H89" s="40">
        <v>582707</v>
      </c>
      <c r="I89" s="40">
        <v>1293708</v>
      </c>
      <c r="J89" s="40">
        <v>614978</v>
      </c>
      <c r="K89" s="20"/>
      <c r="L89" s="20"/>
      <c r="M89" s="40">
        <v>19481999</v>
      </c>
      <c r="N89" s="40">
        <v>4784328</v>
      </c>
      <c r="O89" s="40">
        <v>3584797</v>
      </c>
      <c r="P89" s="40">
        <v>3719965</v>
      </c>
      <c r="Q89" s="40">
        <v>3356008</v>
      </c>
      <c r="R89" s="40">
        <v>3339050</v>
      </c>
      <c r="S89" s="20"/>
      <c r="T89" s="20"/>
      <c r="U89" s="40">
        <v>132176930</v>
      </c>
      <c r="V89" s="40">
        <v>54427339</v>
      </c>
      <c r="W89" s="40">
        <v>32471312</v>
      </c>
      <c r="X89" s="40">
        <v>30109538</v>
      </c>
      <c r="Y89" s="40">
        <v>31751337</v>
      </c>
      <c r="Z89" s="40">
        <v>33225971</v>
      </c>
      <c r="AA89" s="20"/>
      <c r="AB89" s="20"/>
      <c r="AC89" s="40">
        <v>1374844445</v>
      </c>
      <c r="AD89" s="40">
        <v>628796202</v>
      </c>
      <c r="AE89" s="40">
        <v>316687802</v>
      </c>
      <c r="AF89" s="40">
        <v>322864193</v>
      </c>
      <c r="AG89" s="40">
        <v>393340329</v>
      </c>
      <c r="AH89" s="42">
        <v>342433195</v>
      </c>
      <c r="AI89" s="21"/>
    </row>
    <row r="90" spans="2:35" x14ac:dyDescent="0.2">
      <c r="B90" s="29"/>
      <c r="C90" s="23"/>
      <c r="D90" s="41" t="s">
        <v>23</v>
      </c>
      <c r="E90" s="40">
        <v>2587402</v>
      </c>
      <c r="F90" s="40">
        <v>451143</v>
      </c>
      <c r="G90" s="40">
        <v>613276</v>
      </c>
      <c r="H90" s="40">
        <v>619098</v>
      </c>
      <c r="I90" s="40">
        <v>1604516</v>
      </c>
      <c r="J90" s="40">
        <v>603492</v>
      </c>
      <c r="K90" s="20"/>
      <c r="L90" s="20"/>
      <c r="M90" s="40">
        <v>19573085</v>
      </c>
      <c r="N90" s="40">
        <v>4797257</v>
      </c>
      <c r="O90" s="40">
        <v>5239299</v>
      </c>
      <c r="P90" s="40">
        <v>3628017</v>
      </c>
      <c r="Q90" s="40">
        <v>3360271</v>
      </c>
      <c r="R90" s="40">
        <v>3111927</v>
      </c>
      <c r="S90" s="20"/>
      <c r="T90" s="20"/>
      <c r="U90" s="40">
        <v>132553551</v>
      </c>
      <c r="V90" s="40">
        <v>53221368</v>
      </c>
      <c r="W90" s="40">
        <v>31800727</v>
      </c>
      <c r="X90" s="40">
        <v>31141641</v>
      </c>
      <c r="Y90" s="40">
        <v>32645479</v>
      </c>
      <c r="Z90" s="40">
        <v>33933352</v>
      </c>
      <c r="AA90" s="20"/>
      <c r="AB90" s="20"/>
      <c r="AC90" s="40">
        <v>1416749782</v>
      </c>
      <c r="AD90" s="40">
        <v>626899769</v>
      </c>
      <c r="AE90" s="40">
        <v>328012611</v>
      </c>
      <c r="AF90" s="40">
        <v>322472078</v>
      </c>
      <c r="AG90" s="40">
        <v>346344955</v>
      </c>
      <c r="AH90" s="42">
        <v>342994763</v>
      </c>
      <c r="AI90" s="21"/>
    </row>
    <row r="91" spans="2:35" x14ac:dyDescent="0.2">
      <c r="B91" s="29"/>
      <c r="C91" s="23"/>
      <c r="D91" s="41" t="s">
        <v>24</v>
      </c>
      <c r="E91" s="40">
        <v>2730235</v>
      </c>
      <c r="F91" s="40">
        <v>474855</v>
      </c>
      <c r="G91" s="40">
        <v>593857</v>
      </c>
      <c r="H91" s="40">
        <v>599985</v>
      </c>
      <c r="I91" s="40">
        <v>991860</v>
      </c>
      <c r="J91" s="40">
        <v>595396</v>
      </c>
      <c r="K91" s="20"/>
      <c r="L91" s="20"/>
      <c r="M91" s="40">
        <v>16851469</v>
      </c>
      <c r="N91" s="40">
        <v>4801440</v>
      </c>
      <c r="O91" s="40">
        <v>5266200</v>
      </c>
      <c r="P91" s="40">
        <v>2474503</v>
      </c>
      <c r="Q91" s="40">
        <v>3304236</v>
      </c>
      <c r="R91" s="40">
        <v>3171656</v>
      </c>
      <c r="S91" s="20"/>
      <c r="T91" s="20"/>
      <c r="U91" s="40">
        <v>139503881</v>
      </c>
      <c r="V91" s="40">
        <v>54349038</v>
      </c>
      <c r="W91" s="40">
        <v>32141631</v>
      </c>
      <c r="X91" s="40">
        <v>31201318</v>
      </c>
      <c r="Y91" s="40">
        <v>32461006</v>
      </c>
      <c r="Z91" s="40">
        <v>33831512</v>
      </c>
      <c r="AA91" s="20"/>
      <c r="AB91" s="20"/>
      <c r="AC91" s="40">
        <v>1384189962</v>
      </c>
      <c r="AD91" s="40">
        <v>639862305</v>
      </c>
      <c r="AE91" s="40">
        <v>321672922</v>
      </c>
      <c r="AF91" s="40">
        <v>319419328</v>
      </c>
      <c r="AG91" s="40">
        <v>363815453</v>
      </c>
      <c r="AH91" s="42">
        <v>341535373</v>
      </c>
      <c r="AI91" s="21"/>
    </row>
    <row r="92" spans="2:35" x14ac:dyDescent="0.2">
      <c r="B92" s="29"/>
      <c r="C92" s="23"/>
      <c r="D92" s="41" t="s">
        <v>25</v>
      </c>
      <c r="E92" s="40">
        <v>2525701</v>
      </c>
      <c r="F92" s="40">
        <v>452711</v>
      </c>
      <c r="G92" s="40">
        <v>627191</v>
      </c>
      <c r="H92" s="40">
        <v>635630</v>
      </c>
      <c r="I92" s="40">
        <v>820890</v>
      </c>
      <c r="J92" s="40">
        <v>583618</v>
      </c>
      <c r="K92" s="20"/>
      <c r="L92" s="20"/>
      <c r="M92" s="40">
        <v>21258462</v>
      </c>
      <c r="N92" s="40">
        <v>4810087</v>
      </c>
      <c r="O92" s="40">
        <v>5189549</v>
      </c>
      <c r="P92" s="40">
        <v>3516864</v>
      </c>
      <c r="Q92" s="40">
        <v>3369876</v>
      </c>
      <c r="R92" s="40">
        <v>3158598</v>
      </c>
      <c r="S92" s="20"/>
      <c r="T92" s="20"/>
      <c r="U92" s="40">
        <v>128722003</v>
      </c>
      <c r="V92" s="40">
        <v>53287722</v>
      </c>
      <c r="W92" s="40">
        <v>34048055</v>
      </c>
      <c r="X92" s="40">
        <v>31768381</v>
      </c>
      <c r="Y92" s="40">
        <v>29252217</v>
      </c>
      <c r="Z92" s="40">
        <v>32356824</v>
      </c>
      <c r="AA92" s="20"/>
      <c r="AB92" s="20"/>
      <c r="AC92" s="40">
        <v>1390312959</v>
      </c>
      <c r="AD92" s="40">
        <v>630437708</v>
      </c>
      <c r="AE92" s="40">
        <v>318304252</v>
      </c>
      <c r="AF92" s="40">
        <v>328666560</v>
      </c>
      <c r="AG92" s="40">
        <v>328245559</v>
      </c>
      <c r="AH92" s="42">
        <v>340372982</v>
      </c>
      <c r="AI92" s="21"/>
    </row>
    <row r="93" spans="2:35" x14ac:dyDescent="0.2">
      <c r="B93" s="29"/>
      <c r="C93" s="23"/>
      <c r="D93" s="41" t="s">
        <v>26</v>
      </c>
      <c r="E93" s="40">
        <v>2665015</v>
      </c>
      <c r="F93" s="40">
        <v>459956</v>
      </c>
      <c r="G93" s="40">
        <v>664736</v>
      </c>
      <c r="H93" s="40">
        <v>619546</v>
      </c>
      <c r="I93" s="40">
        <v>948656</v>
      </c>
      <c r="J93" s="40">
        <v>590976</v>
      </c>
      <c r="K93" s="20"/>
      <c r="L93" s="20"/>
      <c r="M93" s="40">
        <v>17151352</v>
      </c>
      <c r="N93" s="40">
        <v>4844963</v>
      </c>
      <c r="O93" s="40">
        <v>5045394</v>
      </c>
      <c r="P93" s="40">
        <v>3649259</v>
      </c>
      <c r="Q93" s="40">
        <v>3183190</v>
      </c>
      <c r="R93" s="40">
        <v>3131336</v>
      </c>
      <c r="S93" s="20"/>
      <c r="T93" s="20"/>
      <c r="U93" s="40">
        <v>139019867</v>
      </c>
      <c r="V93" s="40">
        <v>53684160</v>
      </c>
      <c r="W93" s="40">
        <v>31208797</v>
      </c>
      <c r="X93" s="40">
        <v>31310506</v>
      </c>
      <c r="Y93" s="40">
        <v>31691984</v>
      </c>
      <c r="Z93" s="40">
        <v>34770074</v>
      </c>
      <c r="AA93" s="20"/>
      <c r="AB93" s="20"/>
      <c r="AC93" s="40">
        <v>1390751086</v>
      </c>
      <c r="AD93" s="40">
        <v>628917574</v>
      </c>
      <c r="AE93" s="40">
        <v>325362753</v>
      </c>
      <c r="AF93" s="40">
        <v>321723623</v>
      </c>
      <c r="AG93" s="40">
        <v>325095141</v>
      </c>
      <c r="AH93" s="42">
        <v>340699030</v>
      </c>
      <c r="AI93" s="21"/>
    </row>
    <row r="94" spans="2:35" x14ac:dyDescent="0.2">
      <c r="B94" s="29"/>
      <c r="C94" s="23"/>
      <c r="D94" s="41" t="s">
        <v>27</v>
      </c>
      <c r="E94" s="40">
        <v>2786701</v>
      </c>
      <c r="F94" s="40">
        <v>465786</v>
      </c>
      <c r="G94" s="40">
        <v>616875</v>
      </c>
      <c r="H94" s="40">
        <v>605286</v>
      </c>
      <c r="I94" s="40">
        <v>875367</v>
      </c>
      <c r="J94" s="40">
        <v>604801</v>
      </c>
      <c r="K94" s="20"/>
      <c r="L94" s="20"/>
      <c r="M94" s="40">
        <v>17082718</v>
      </c>
      <c r="N94" s="40">
        <v>4879752</v>
      </c>
      <c r="O94" s="40">
        <v>5196756</v>
      </c>
      <c r="P94" s="40">
        <v>3497862</v>
      </c>
      <c r="Q94" s="40">
        <v>3258067</v>
      </c>
      <c r="R94" s="40">
        <v>3151449</v>
      </c>
      <c r="S94" s="20"/>
      <c r="T94" s="20"/>
      <c r="U94" s="40">
        <v>130896399</v>
      </c>
      <c r="V94" s="40">
        <v>48033610</v>
      </c>
      <c r="W94" s="40">
        <v>30319664</v>
      </c>
      <c r="X94" s="40">
        <v>30243709</v>
      </c>
      <c r="Y94" s="40">
        <v>31732105</v>
      </c>
      <c r="Z94" s="40">
        <v>33006243</v>
      </c>
      <c r="AA94" s="20"/>
      <c r="AB94" s="20"/>
      <c r="AC94" s="40">
        <v>1396309129</v>
      </c>
      <c r="AD94" s="40">
        <v>645350485</v>
      </c>
      <c r="AE94" s="40">
        <v>320225621</v>
      </c>
      <c r="AF94" s="40">
        <v>358327597</v>
      </c>
      <c r="AG94" s="40">
        <v>332155622</v>
      </c>
      <c r="AH94" s="42">
        <v>336688091</v>
      </c>
      <c r="AI94" s="21"/>
    </row>
    <row r="95" spans="2:35" x14ac:dyDescent="0.2">
      <c r="B95" s="29"/>
      <c r="C95" s="23"/>
      <c r="D95" s="41" t="s">
        <v>28</v>
      </c>
      <c r="E95" s="40">
        <v>2470981</v>
      </c>
      <c r="F95" s="40">
        <v>463927</v>
      </c>
      <c r="G95" s="40">
        <v>600189</v>
      </c>
      <c r="H95" s="40">
        <v>600200</v>
      </c>
      <c r="I95" s="40">
        <v>716491</v>
      </c>
      <c r="J95" s="40">
        <v>596463</v>
      </c>
      <c r="K95" s="20"/>
      <c r="L95" s="20"/>
      <c r="M95" s="40">
        <v>18496021</v>
      </c>
      <c r="N95" s="40">
        <v>4763640</v>
      </c>
      <c r="O95" s="40">
        <v>5137867</v>
      </c>
      <c r="P95" s="40">
        <v>3412107</v>
      </c>
      <c r="Q95" s="40">
        <v>3277314</v>
      </c>
      <c r="R95" s="40">
        <v>3478465</v>
      </c>
      <c r="S95" s="20"/>
      <c r="T95" s="20"/>
      <c r="U95" s="40">
        <v>143932734</v>
      </c>
      <c r="V95" s="40">
        <v>49880904</v>
      </c>
      <c r="W95" s="40">
        <v>31341924</v>
      </c>
      <c r="X95" s="40">
        <v>30032604</v>
      </c>
      <c r="Y95" s="40">
        <v>28251515</v>
      </c>
      <c r="Z95" s="40">
        <v>30240253</v>
      </c>
      <c r="AA95" s="20"/>
      <c r="AB95" s="20"/>
      <c r="AC95" s="40">
        <v>1430447664</v>
      </c>
      <c r="AD95" s="40">
        <v>637643925</v>
      </c>
      <c r="AE95" s="40">
        <v>332227006</v>
      </c>
      <c r="AF95" s="40">
        <v>344827382</v>
      </c>
      <c r="AG95" s="40">
        <v>325205465</v>
      </c>
      <c r="AH95" s="42">
        <v>340528210</v>
      </c>
      <c r="AI95" s="21"/>
    </row>
    <row r="96" spans="2:35" x14ac:dyDescent="0.2">
      <c r="B96" s="29"/>
      <c r="C96" s="23"/>
      <c r="D96" s="41" t="s">
        <v>29</v>
      </c>
      <c r="E96" s="40">
        <v>2615181</v>
      </c>
      <c r="F96" s="40">
        <v>488641</v>
      </c>
      <c r="G96" s="40">
        <v>730717</v>
      </c>
      <c r="H96" s="40">
        <v>602180</v>
      </c>
      <c r="I96" s="40">
        <v>773723</v>
      </c>
      <c r="J96" s="40">
        <v>574540</v>
      </c>
      <c r="K96" s="20"/>
      <c r="L96" s="20"/>
      <c r="M96" s="40">
        <v>18116055</v>
      </c>
      <c r="N96" s="40">
        <v>5048808</v>
      </c>
      <c r="O96" s="40">
        <v>5229464</v>
      </c>
      <c r="P96" s="40">
        <v>3562142</v>
      </c>
      <c r="Q96" s="40">
        <v>3337287</v>
      </c>
      <c r="R96" s="40">
        <v>3183734</v>
      </c>
      <c r="S96" s="20"/>
      <c r="T96" s="20"/>
      <c r="U96" s="40">
        <v>143166939</v>
      </c>
      <c r="V96" s="40">
        <v>48833056</v>
      </c>
      <c r="W96" s="40">
        <v>34113559</v>
      </c>
      <c r="X96" s="40">
        <v>31669521</v>
      </c>
      <c r="Y96" s="40">
        <v>29636643</v>
      </c>
      <c r="Z96" s="40">
        <v>32252475</v>
      </c>
      <c r="AA96" s="20"/>
      <c r="AB96" s="20"/>
      <c r="AC96" s="40">
        <v>1407211220</v>
      </c>
      <c r="AD96" s="40">
        <v>630425380</v>
      </c>
      <c r="AE96" s="40">
        <v>321820001</v>
      </c>
      <c r="AF96" s="40">
        <v>325833530</v>
      </c>
      <c r="AG96" s="40">
        <v>332145284</v>
      </c>
      <c r="AH96" s="42">
        <v>345566686</v>
      </c>
      <c r="AI96" s="21"/>
    </row>
    <row r="97" spans="2:35" x14ac:dyDescent="0.2">
      <c r="B97" s="29"/>
      <c r="C97" s="23"/>
      <c r="D97" s="41" t="s">
        <v>30</v>
      </c>
      <c r="E97" s="40">
        <v>2595551</v>
      </c>
      <c r="F97" s="40">
        <v>485805</v>
      </c>
      <c r="G97" s="40">
        <v>648322</v>
      </c>
      <c r="H97" s="40">
        <v>626858</v>
      </c>
      <c r="I97" s="40">
        <v>777800</v>
      </c>
      <c r="J97" s="40">
        <v>583260</v>
      </c>
      <c r="K97" s="20"/>
      <c r="L97" s="20"/>
      <c r="M97" s="40">
        <v>21366970</v>
      </c>
      <c r="N97" s="40">
        <v>4715567</v>
      </c>
      <c r="O97" s="40">
        <v>5135121</v>
      </c>
      <c r="P97" s="40">
        <v>3439701</v>
      </c>
      <c r="Q97" s="40">
        <v>3364347</v>
      </c>
      <c r="R97" s="40">
        <v>3187784</v>
      </c>
      <c r="S97" s="20"/>
      <c r="T97" s="20"/>
      <c r="U97" s="40">
        <v>146249395</v>
      </c>
      <c r="V97" s="40">
        <v>49861635</v>
      </c>
      <c r="W97" s="40">
        <v>31908457</v>
      </c>
      <c r="X97" s="40">
        <v>29711547</v>
      </c>
      <c r="Y97" s="40">
        <v>29812266</v>
      </c>
      <c r="Z97" s="40">
        <v>31187382</v>
      </c>
      <c r="AA97" s="20"/>
      <c r="AB97" s="20"/>
      <c r="AC97" s="40">
        <v>1423017728</v>
      </c>
      <c r="AD97" s="40">
        <v>626515794</v>
      </c>
      <c r="AE97" s="40">
        <v>327413669</v>
      </c>
      <c r="AF97" s="40">
        <v>325464198</v>
      </c>
      <c r="AG97" s="40">
        <v>338984557</v>
      </c>
      <c r="AH97" s="42">
        <v>334857051</v>
      </c>
      <c r="AI97" s="21"/>
    </row>
    <row r="98" spans="2:35" x14ac:dyDescent="0.2">
      <c r="B98" s="29"/>
      <c r="C98" s="23"/>
      <c r="D98" s="41" t="s">
        <v>31</v>
      </c>
      <c r="E98" s="40">
        <v>2746510</v>
      </c>
      <c r="F98" s="40">
        <v>464453</v>
      </c>
      <c r="G98" s="40">
        <v>593984</v>
      </c>
      <c r="H98" s="40">
        <v>618501</v>
      </c>
      <c r="I98" s="40">
        <v>760701</v>
      </c>
      <c r="J98" s="40">
        <v>613736</v>
      </c>
      <c r="K98" s="20"/>
      <c r="L98" s="20"/>
      <c r="M98" s="40">
        <v>19286679</v>
      </c>
      <c r="N98" s="40">
        <v>4773001</v>
      </c>
      <c r="O98" s="40">
        <v>4896708</v>
      </c>
      <c r="P98" s="40">
        <v>3727069</v>
      </c>
      <c r="Q98" s="40">
        <v>3247056</v>
      </c>
      <c r="R98" s="40">
        <v>3347930</v>
      </c>
      <c r="S98" s="20"/>
      <c r="T98" s="20"/>
      <c r="U98" s="40">
        <v>145272588</v>
      </c>
      <c r="V98" s="40">
        <v>51031113</v>
      </c>
      <c r="W98" s="40">
        <v>33333548</v>
      </c>
      <c r="X98" s="40">
        <v>29654566</v>
      </c>
      <c r="Y98" s="40">
        <v>30073918</v>
      </c>
      <c r="Z98" s="40">
        <v>33725338</v>
      </c>
      <c r="AA98" s="20"/>
      <c r="AB98" s="20"/>
      <c r="AC98" s="40">
        <v>1501613798</v>
      </c>
      <c r="AD98" s="40">
        <v>638821204</v>
      </c>
      <c r="AE98" s="40">
        <v>329190550</v>
      </c>
      <c r="AF98" s="40">
        <v>325581107</v>
      </c>
      <c r="AG98" s="40">
        <v>342081022</v>
      </c>
      <c r="AH98" s="42">
        <v>356288240</v>
      </c>
      <c r="AI98" s="21"/>
    </row>
    <row r="99" spans="2:35" x14ac:dyDescent="0.2">
      <c r="B99" s="29"/>
      <c r="C99" s="23"/>
      <c r="D99" s="41" t="s">
        <v>32</v>
      </c>
      <c r="E99" s="40">
        <v>2888668</v>
      </c>
      <c r="F99" s="40">
        <v>481440</v>
      </c>
      <c r="G99" s="40">
        <v>676506</v>
      </c>
      <c r="H99" s="40">
        <v>615271</v>
      </c>
      <c r="I99" s="40">
        <v>747146</v>
      </c>
      <c r="J99" s="40">
        <v>586746</v>
      </c>
      <c r="K99" s="20"/>
      <c r="L99" s="20"/>
      <c r="M99" s="40">
        <v>21172442</v>
      </c>
      <c r="N99" s="40">
        <v>4838515</v>
      </c>
      <c r="O99" s="40">
        <v>5207399</v>
      </c>
      <c r="P99" s="40">
        <v>3557569</v>
      </c>
      <c r="Q99" s="40">
        <v>3315021</v>
      </c>
      <c r="R99" s="40">
        <v>3160369</v>
      </c>
      <c r="S99" s="20"/>
      <c r="T99" s="20"/>
      <c r="U99" s="40">
        <v>140737058</v>
      </c>
      <c r="V99" s="40">
        <v>51955792</v>
      </c>
      <c r="W99" s="40">
        <v>32410944</v>
      </c>
      <c r="X99" s="40">
        <v>30472719</v>
      </c>
      <c r="Y99" s="40">
        <v>32035533</v>
      </c>
      <c r="Z99" s="40">
        <v>31222976</v>
      </c>
      <c r="AA99" s="20"/>
      <c r="AB99" s="20"/>
      <c r="AC99" s="40">
        <v>1379047200</v>
      </c>
      <c r="AD99" s="40">
        <v>637370457</v>
      </c>
      <c r="AE99" s="40">
        <v>357589975</v>
      </c>
      <c r="AF99" s="40">
        <v>325275747</v>
      </c>
      <c r="AG99" s="40">
        <v>366391031</v>
      </c>
      <c r="AH99" s="42">
        <v>343029373</v>
      </c>
      <c r="AI99" s="21"/>
    </row>
    <row r="100" spans="2:35" x14ac:dyDescent="0.2">
      <c r="B100" s="29"/>
      <c r="C100" s="23"/>
      <c r="D100" s="41" t="s">
        <v>33</v>
      </c>
      <c r="E100" s="40">
        <v>2828313</v>
      </c>
      <c r="F100" s="40">
        <v>488334</v>
      </c>
      <c r="G100" s="40">
        <v>654769</v>
      </c>
      <c r="H100" s="40">
        <v>656511</v>
      </c>
      <c r="I100" s="40">
        <v>776323</v>
      </c>
      <c r="J100" s="40">
        <v>596958</v>
      </c>
      <c r="K100" s="20"/>
      <c r="L100" s="20"/>
      <c r="M100" s="40">
        <v>21477204</v>
      </c>
      <c r="N100" s="40">
        <v>4782838</v>
      </c>
      <c r="O100" s="40">
        <v>3536722</v>
      </c>
      <c r="P100" s="40">
        <v>3624128</v>
      </c>
      <c r="Q100" s="40">
        <v>3261301</v>
      </c>
      <c r="R100" s="40">
        <v>3293183</v>
      </c>
      <c r="S100" s="20"/>
      <c r="T100" s="20"/>
      <c r="U100" s="40">
        <v>137301406</v>
      </c>
      <c r="V100" s="40">
        <v>50671308</v>
      </c>
      <c r="W100" s="40">
        <v>33275725</v>
      </c>
      <c r="X100" s="40">
        <v>29637800</v>
      </c>
      <c r="Y100" s="40">
        <v>29249753</v>
      </c>
      <c r="Z100" s="40">
        <v>31524905</v>
      </c>
      <c r="AA100" s="20"/>
      <c r="AB100" s="20"/>
      <c r="AC100" s="40">
        <v>1444699355</v>
      </c>
      <c r="AD100" s="40">
        <v>637116107</v>
      </c>
      <c r="AE100" s="40">
        <v>336458366</v>
      </c>
      <c r="AF100" s="40">
        <v>317156065</v>
      </c>
      <c r="AG100" s="40">
        <v>345502086</v>
      </c>
      <c r="AH100" s="42">
        <v>342776402</v>
      </c>
      <c r="AI100" s="21"/>
    </row>
    <row r="101" spans="2:35" x14ac:dyDescent="0.2">
      <c r="B101" s="29"/>
      <c r="C101" s="23"/>
      <c r="D101" s="41" t="s">
        <v>34</v>
      </c>
      <c r="E101" s="40">
        <v>2723633</v>
      </c>
      <c r="F101" s="40">
        <v>479686</v>
      </c>
      <c r="G101" s="40">
        <v>601935</v>
      </c>
      <c r="H101" s="40">
        <v>597160</v>
      </c>
      <c r="I101" s="40">
        <v>758755</v>
      </c>
      <c r="J101" s="40">
        <v>619236</v>
      </c>
      <c r="K101" s="20"/>
      <c r="L101" s="20"/>
      <c r="M101" s="40">
        <v>20042696</v>
      </c>
      <c r="N101" s="40">
        <v>4795555</v>
      </c>
      <c r="O101" s="40">
        <v>5085485</v>
      </c>
      <c r="P101" s="40">
        <v>3509551</v>
      </c>
      <c r="Q101" s="40">
        <v>3207801</v>
      </c>
      <c r="R101" s="40">
        <v>2968232</v>
      </c>
      <c r="S101" s="20"/>
      <c r="T101" s="20"/>
      <c r="U101" s="40">
        <v>139106760</v>
      </c>
      <c r="V101" s="40">
        <v>52539507</v>
      </c>
      <c r="W101" s="40">
        <v>31867601</v>
      </c>
      <c r="X101" s="40">
        <v>31428861</v>
      </c>
      <c r="Y101" s="40">
        <v>31098228</v>
      </c>
      <c r="Z101" s="40">
        <v>32635357</v>
      </c>
      <c r="AA101" s="20"/>
      <c r="AB101" s="20"/>
      <c r="AC101" s="40">
        <v>1391956131</v>
      </c>
      <c r="AD101" s="40">
        <v>619330046</v>
      </c>
      <c r="AE101" s="40">
        <v>326618226</v>
      </c>
      <c r="AF101" s="40">
        <v>335815863</v>
      </c>
      <c r="AG101" s="40">
        <v>337212249</v>
      </c>
      <c r="AH101" s="42">
        <v>347785437</v>
      </c>
      <c r="AI101" s="21"/>
    </row>
    <row r="102" spans="2:35" x14ac:dyDescent="0.2">
      <c r="B102" s="29"/>
      <c r="C102" s="23"/>
      <c r="D102" s="41" t="s">
        <v>35</v>
      </c>
      <c r="E102" s="40">
        <v>2809928</v>
      </c>
      <c r="F102" s="40">
        <v>473261</v>
      </c>
      <c r="G102" s="40">
        <v>613609</v>
      </c>
      <c r="H102" s="40">
        <v>586079</v>
      </c>
      <c r="I102" s="40">
        <v>803240</v>
      </c>
      <c r="J102" s="40">
        <v>584220</v>
      </c>
      <c r="K102" s="20"/>
      <c r="L102" s="20"/>
      <c r="M102" s="40">
        <v>17259959</v>
      </c>
      <c r="N102" s="40">
        <v>4854823</v>
      </c>
      <c r="O102" s="40">
        <v>5174190</v>
      </c>
      <c r="P102" s="40">
        <v>3528442</v>
      </c>
      <c r="Q102" s="40">
        <v>3355402</v>
      </c>
      <c r="R102" s="40">
        <v>3376480</v>
      </c>
      <c r="S102" s="20"/>
      <c r="T102" s="20"/>
      <c r="U102" s="40">
        <v>135958996</v>
      </c>
      <c r="V102" s="40">
        <v>52890117</v>
      </c>
      <c r="W102" s="40">
        <v>30677389</v>
      </c>
      <c r="X102" s="40">
        <v>31109741</v>
      </c>
      <c r="Y102" s="40">
        <v>31255190</v>
      </c>
      <c r="Z102" s="40">
        <v>32213260</v>
      </c>
      <c r="AA102" s="20"/>
      <c r="AB102" s="20"/>
      <c r="AC102" s="40">
        <v>1428806227</v>
      </c>
      <c r="AD102" s="40">
        <v>623715831</v>
      </c>
      <c r="AE102" s="40">
        <v>319241209</v>
      </c>
      <c r="AF102" s="40">
        <v>322633334</v>
      </c>
      <c r="AG102" s="40">
        <v>346661572</v>
      </c>
      <c r="AH102" s="42">
        <v>339497024</v>
      </c>
      <c r="AI102" s="21"/>
    </row>
    <row r="103" spans="2:35" x14ac:dyDescent="0.2">
      <c r="B103" s="29"/>
      <c r="C103" s="23"/>
      <c r="D103" s="41" t="s">
        <v>36</v>
      </c>
      <c r="E103" s="40">
        <v>2852650</v>
      </c>
      <c r="F103" s="40">
        <v>461221</v>
      </c>
      <c r="G103" s="40">
        <v>602398</v>
      </c>
      <c r="H103" s="40">
        <v>640521</v>
      </c>
      <c r="I103" s="40">
        <v>830346</v>
      </c>
      <c r="J103" s="40">
        <v>585601</v>
      </c>
      <c r="K103" s="20"/>
      <c r="L103" s="20"/>
      <c r="M103" s="40">
        <v>21237925</v>
      </c>
      <c r="N103" s="40">
        <v>4825489</v>
      </c>
      <c r="O103" s="40">
        <v>5207554</v>
      </c>
      <c r="P103" s="40">
        <v>3554310</v>
      </c>
      <c r="Q103" s="40">
        <v>3530484</v>
      </c>
      <c r="R103" s="40">
        <v>3036142</v>
      </c>
      <c r="S103" s="20"/>
      <c r="T103" s="20"/>
      <c r="U103" s="40">
        <v>133024613</v>
      </c>
      <c r="V103" s="40">
        <v>48209019</v>
      </c>
      <c r="W103" s="40">
        <v>34523752</v>
      </c>
      <c r="X103" s="40">
        <v>30063298</v>
      </c>
      <c r="Y103" s="40">
        <v>29136765</v>
      </c>
      <c r="Z103" s="40">
        <v>31815186</v>
      </c>
      <c r="AA103" s="20"/>
      <c r="AB103" s="20"/>
      <c r="AC103" s="40">
        <v>1434855143</v>
      </c>
      <c r="AD103" s="40">
        <v>624858852</v>
      </c>
      <c r="AE103" s="40">
        <v>318447653</v>
      </c>
      <c r="AF103" s="40">
        <v>323115378</v>
      </c>
      <c r="AG103" s="40">
        <v>323688070</v>
      </c>
      <c r="AH103" s="42">
        <v>342203592</v>
      </c>
      <c r="AI103" s="21"/>
    </row>
    <row r="104" spans="2:35" x14ac:dyDescent="0.2">
      <c r="B104" s="29"/>
      <c r="C104" s="23"/>
      <c r="D104" s="41" t="s">
        <v>37</v>
      </c>
      <c r="E104" s="40">
        <v>2801677</v>
      </c>
      <c r="F104" s="40">
        <v>474132</v>
      </c>
      <c r="G104" s="40">
        <v>609440</v>
      </c>
      <c r="H104" s="40">
        <v>652122</v>
      </c>
      <c r="I104" s="40">
        <v>845393</v>
      </c>
      <c r="J104" s="40">
        <v>611359</v>
      </c>
      <c r="K104" s="20"/>
      <c r="L104" s="20"/>
      <c r="M104" s="40">
        <v>21010119</v>
      </c>
      <c r="N104" s="40">
        <v>4768492</v>
      </c>
      <c r="O104" s="40">
        <v>5118720</v>
      </c>
      <c r="P104" s="40">
        <v>3446669</v>
      </c>
      <c r="Q104" s="40">
        <v>3336556</v>
      </c>
      <c r="R104" s="40">
        <v>3111894</v>
      </c>
      <c r="S104" s="20"/>
      <c r="T104" s="20"/>
      <c r="U104" s="40">
        <v>143699031</v>
      </c>
      <c r="V104" s="40">
        <v>52072830</v>
      </c>
      <c r="W104" s="40">
        <v>33524271</v>
      </c>
      <c r="X104" s="40">
        <v>29368042</v>
      </c>
      <c r="Y104" s="40">
        <v>31408941</v>
      </c>
      <c r="Z104" s="40">
        <v>32983091</v>
      </c>
      <c r="AA104" s="20"/>
      <c r="AB104" s="20"/>
      <c r="AC104" s="40">
        <v>1412399044</v>
      </c>
      <c r="AD104" s="40">
        <v>662517524</v>
      </c>
      <c r="AE104" s="40">
        <v>314075327</v>
      </c>
      <c r="AF104" s="40">
        <v>326592803</v>
      </c>
      <c r="AG104" s="40">
        <v>331940582</v>
      </c>
      <c r="AH104" s="42">
        <v>342892858</v>
      </c>
      <c r="AI104" s="21"/>
    </row>
    <row r="105" spans="2:35" x14ac:dyDescent="0.2">
      <c r="B105" s="29"/>
      <c r="C105" s="23"/>
      <c r="D105" s="41" t="s">
        <v>38</v>
      </c>
      <c r="E105" s="40">
        <v>2908456</v>
      </c>
      <c r="F105" s="40">
        <v>466587</v>
      </c>
      <c r="G105" s="40">
        <v>625756</v>
      </c>
      <c r="H105" s="40">
        <v>613783</v>
      </c>
      <c r="I105" s="40">
        <v>774460</v>
      </c>
      <c r="J105" s="40">
        <v>614133</v>
      </c>
      <c r="K105" s="20"/>
      <c r="L105" s="20"/>
      <c r="M105" s="40">
        <v>18465712</v>
      </c>
      <c r="N105" s="40">
        <v>4792025</v>
      </c>
      <c r="O105" s="40">
        <v>4845535</v>
      </c>
      <c r="P105" s="40">
        <v>3494000</v>
      </c>
      <c r="Q105" s="40">
        <v>3827502</v>
      </c>
      <c r="R105" s="40">
        <v>3175426</v>
      </c>
      <c r="S105" s="20"/>
      <c r="T105" s="20"/>
      <c r="U105" s="40">
        <v>139140108</v>
      </c>
      <c r="V105" s="40">
        <v>49796519</v>
      </c>
      <c r="W105" s="40">
        <v>32689688</v>
      </c>
      <c r="X105" s="40">
        <v>30275017</v>
      </c>
      <c r="Y105" s="40">
        <v>30629776</v>
      </c>
      <c r="Z105" s="40">
        <v>30673471</v>
      </c>
      <c r="AA105" s="20"/>
      <c r="AB105" s="20"/>
      <c r="AC105" s="40">
        <v>1384340730</v>
      </c>
      <c r="AD105" s="40">
        <v>629473001</v>
      </c>
      <c r="AE105" s="40">
        <v>326192135</v>
      </c>
      <c r="AF105" s="40">
        <v>320510976</v>
      </c>
      <c r="AG105" s="40">
        <v>324755904</v>
      </c>
      <c r="AH105" s="42">
        <v>356991592</v>
      </c>
      <c r="AI105" s="21"/>
    </row>
    <row r="106" spans="2:35" x14ac:dyDescent="0.2">
      <c r="B106" s="29"/>
      <c r="C106" s="23"/>
      <c r="D106" s="41" t="s">
        <v>39</v>
      </c>
      <c r="E106" s="40">
        <v>3007980</v>
      </c>
      <c r="F106" s="40">
        <v>476022</v>
      </c>
      <c r="G106" s="40">
        <v>588676</v>
      </c>
      <c r="H106" s="40">
        <v>601869</v>
      </c>
      <c r="I106" s="40">
        <v>630388</v>
      </c>
      <c r="J106" s="40">
        <v>606171</v>
      </c>
      <c r="K106" s="20"/>
      <c r="L106" s="20"/>
      <c r="M106" s="40">
        <v>20275456</v>
      </c>
      <c r="N106" s="40">
        <v>4830955</v>
      </c>
      <c r="O106" s="40">
        <v>4475796</v>
      </c>
      <c r="P106" s="40">
        <v>3428594</v>
      </c>
      <c r="Q106" s="40">
        <v>2301221</v>
      </c>
      <c r="R106" s="40">
        <v>3099381</v>
      </c>
      <c r="S106" s="20"/>
      <c r="T106" s="20"/>
      <c r="U106" s="40">
        <v>138688171</v>
      </c>
      <c r="V106" s="40">
        <v>50628728</v>
      </c>
      <c r="W106" s="40">
        <v>31550404</v>
      </c>
      <c r="X106" s="40">
        <v>32415702</v>
      </c>
      <c r="Y106" s="40">
        <v>31791380</v>
      </c>
      <c r="Z106" s="40">
        <v>32601438</v>
      </c>
      <c r="AA106" s="20"/>
      <c r="AB106" s="20"/>
      <c r="AC106" s="40">
        <v>1570789026</v>
      </c>
      <c r="AD106" s="40">
        <v>635079273</v>
      </c>
      <c r="AE106" s="40">
        <v>329435447</v>
      </c>
      <c r="AF106" s="40">
        <v>321841169</v>
      </c>
      <c r="AG106" s="40">
        <v>329780390</v>
      </c>
      <c r="AH106" s="42">
        <v>372361149</v>
      </c>
      <c r="AI106" s="21"/>
    </row>
    <row r="107" spans="2:35" ht="16" thickBot="1" x14ac:dyDescent="0.25">
      <c r="B107" s="29"/>
      <c r="C107" s="24"/>
      <c r="D107" s="36" t="s">
        <v>44</v>
      </c>
      <c r="E107" s="25" cm="1">
        <f t="array" ref="E107">ROUND(AVERAGE(IF((ISNUMBER(E77:E106))*(E77:E106&lt;LARGE(E77:E106,2))*(E77:E106&gt;SMALL(E77:E106,2)),E77:E106)),0)</f>
        <v>2686597</v>
      </c>
      <c r="F107" s="25" cm="1">
        <f t="array" ref="F107">ROUND(AVERAGE(IF((ISNUMBER(F77:F106))*(F77:F106&lt;LARGE(F77:F106,2))*(F77:F106&gt;SMALL(F77:F106,2)),F77:F106)),0)</f>
        <v>470917</v>
      </c>
      <c r="G107" s="25" cm="1">
        <f t="array" ref="G107">ROUND(AVERAGE(IF((ISNUMBER(G77:G106))*(G77:G106&lt;LARGE(G77:G106,2))*(G77:G106&gt;SMALL(G77:G106,2)),G77:G106)),0)</f>
        <v>616359</v>
      </c>
      <c r="H107" s="25" cm="1">
        <f t="array" ref="H107">ROUND(AVERAGE(IF((ISNUMBER(H77:H106))*(H77:H106&lt;LARGE(H77:H106,2))*(H77:H106&gt;SMALL(H77:H106,2)),H77:H106)),0)</f>
        <v>611352</v>
      </c>
      <c r="I107" s="25" cm="1">
        <f t="array" ref="I107">ROUND(AVERAGE(IF((ISNUMBER(I77:I106))*(I77:I106&lt;LARGE(I77:I106,2))*(I77:I106&gt;SMALL(I77:I106,2)),I77:I106)),0)</f>
        <v>728858</v>
      </c>
      <c r="J107" s="25" cm="1">
        <f t="array" ref="J107">ROUND(AVERAGE(IF((ISNUMBER(J77:J106))*(J77:J106&lt;LARGE(J77:J106,2))*(J77:J106&gt;SMALL(J77:J106,2)),J77:J106)),0)</f>
        <v>598629</v>
      </c>
      <c r="K107" s="25"/>
      <c r="L107" s="25"/>
      <c r="M107" s="25" cm="1">
        <f t="array" ref="M107">ROUND(AVERAGE(IF((ISNUMBER(M77:M106))*(M77:M106&lt;LARGE(M77:M106,2))*(M77:M106&gt;SMALL(M77:M106,2)),M77:M106)),0)</f>
        <v>19296866</v>
      </c>
      <c r="N107" s="25" cm="1">
        <f t="array" ref="N107">ROUND(AVERAGE(IF((ISNUMBER(N77:N106))*(N77:N106&lt;LARGE(N77:N106,2))*(N77:N106&gt;SMALL(N77:N106,2)),N77:N106)),0)</f>
        <v>4816926</v>
      </c>
      <c r="O107" s="25" cm="1">
        <f t="array" ref="O107">ROUND(AVERAGE(IF((ISNUMBER(O77:O106))*(O77:O106&lt;LARGE(O77:O106,2))*(O77:O106&gt;SMALL(O77:O106,2)),O77:O106)),0)</f>
        <v>5043147</v>
      </c>
      <c r="P107" s="25" cm="1">
        <f t="array" ref="P107">ROUND(AVERAGE(IF((ISNUMBER(P77:P106))*(P77:P106&lt;LARGE(P77:P106,2))*(P77:P106&gt;SMALL(P77:P106,2)),P77:P106)),0)</f>
        <v>3489960</v>
      </c>
      <c r="Q107" s="25" cm="1">
        <f t="array" ref="Q107">ROUND(AVERAGE(IF((ISNUMBER(Q77:Q106))*(Q77:Q106&lt;LARGE(Q77:Q106,2))*(Q77:Q106&gt;SMALL(Q77:Q106,2)),Q77:Q106)),0)</f>
        <v>3333567</v>
      </c>
      <c r="R107" s="25" cm="1">
        <f t="array" ref="R107">ROUND(AVERAGE(IF((ISNUMBER(R77:R106))*(R77:R106&lt;LARGE(R77:R106,2))*(R77:R106&gt;SMALL(R77:R106,2)),R77:R106)),0)</f>
        <v>3186980</v>
      </c>
      <c r="S107" s="25"/>
      <c r="T107" s="25"/>
      <c r="U107" s="25" cm="1">
        <f t="array" ref="U107">ROUND(AVERAGE(IF((ISNUMBER(U77:U106))*(U77:U106&lt;LARGE(U77:U106,2))*(U77:U106&gt;SMALL(U77:U106,2)),U77:U106)),0)</f>
        <v>140362046</v>
      </c>
      <c r="V107" s="25" cm="1">
        <f t="array" ref="V107">ROUND(AVERAGE(IF((ISNUMBER(V77:V106))*(V77:V106&lt;LARGE(V77:V106,2))*(V77:V106&gt;SMALL(V77:V106,2)),V77:V106)),0)</f>
        <v>51928527</v>
      </c>
      <c r="W107" s="25" cm="1">
        <f t="array" ref="W107">ROUND(AVERAGE(IF((ISNUMBER(W77:W106))*(W77:W106&lt;LARGE(W77:W106,2))*(W77:W106&gt;SMALL(W77:W106,2)),W77:W106)),0)</f>
        <v>32586329</v>
      </c>
      <c r="X107" s="25" cm="1">
        <f t="array" ref="X107">ROUND(AVERAGE(IF((ISNUMBER(X77:X106))*(X77:X106&lt;LARGE(X77:X106,2))*(X77:X106&gt;SMALL(X77:X106,2)),X77:X106)),0)</f>
        <v>30717681</v>
      </c>
      <c r="Y107" s="25" cm="1">
        <f t="array" ref="Y107">ROUND(AVERAGE(IF((ISNUMBER(Y77:Y106))*(Y77:Y106&lt;LARGE(Y77:Y106,2))*(Y77:Y106&gt;SMALL(Y77:Y106,2)),Y77:Y106)),0)</f>
        <v>30767192</v>
      </c>
      <c r="Z107" s="25" cm="1">
        <f t="array" ref="Z107">ROUND(AVERAGE(IF((ISNUMBER(Z77:Z106))*(Z77:Z106&lt;LARGE(Z77:Z106,2))*(Z77:Z106&gt;SMALL(Z77:Z106,2)),Z77:Z106)),0)</f>
        <v>32496562</v>
      </c>
      <c r="AA107" s="25"/>
      <c r="AB107" s="25"/>
      <c r="AC107" s="25" cm="1">
        <f t="array" ref="AC107">ROUND(AVERAGE(IF((ISNUMBER(AC77:AC106))*(AC77:AC106&lt;LARGE(AC77:AC106,2))*(AC77:AC106&gt;SMALL(AC77:AC106,2)),AC77:AC106)),0)</f>
        <v>1402087847</v>
      </c>
      <c r="AD107" s="25" cm="1">
        <f t="array" ref="AD107">ROUND(AVERAGE(IF((ISNUMBER(AD77:AD106))*(AD77:AD106&lt;LARGE(AD77:AD106,2))*(AD77:AD106&gt;SMALL(AD77:AD106,2)),AD77:AD106)),0)</f>
        <v>630433843</v>
      </c>
      <c r="AE107" s="25" cm="1">
        <f t="array" ref="AE107">ROUND(AVERAGE(IF((ISNUMBER(AE77:AE106))*(AE77:AE106&lt;LARGE(AE77:AE106,2))*(AE77:AE106&gt;SMALL(AE77:AE106,2)),AE77:AE106)),0)</f>
        <v>324571995</v>
      </c>
      <c r="AF107" s="25" cm="1">
        <f t="array" ref="AF107">ROUND(AVERAGE(IF((ISNUMBER(AF77:AF106))*(AF77:AF106&lt;LARGE(AF77:AF106,2))*(AF77:AF106&gt;SMALL(AF77:AF106,2)),AF77:AF106)),0)</f>
        <v>324818471</v>
      </c>
      <c r="AG107" s="25" cm="1">
        <f t="array" ref="AG107">ROUND(AVERAGE(IF((ISNUMBER(AG77:AG106))*(AG77:AG106&lt;LARGE(AG77:AG106,2))*(AG77:AG106&gt;SMALL(AG77:AG106,2)),AG77:AG106)),0)</f>
        <v>345388720</v>
      </c>
      <c r="AH107" s="25" cm="1">
        <f t="array" ref="AH107">ROUND(AVERAGE(IF((ISNUMBER(AH77:AH106))*(AH77:AH106&lt;LARGE(AH77:AH106,2))*(AH77:AH106&gt;SMALL(AH77:AH106,2)),AH77:AH106)),0)</f>
        <v>343197854</v>
      </c>
      <c r="AI107" s="21"/>
    </row>
    <row r="108" spans="2:35" ht="16" thickBot="1" x14ac:dyDescent="0.25">
      <c r="B108" s="30"/>
      <c r="C108" s="27"/>
      <c r="D108" s="3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8"/>
    </row>
    <row r="109" spans="2:35" ht="16" thickBot="1" x14ac:dyDescent="0.25">
      <c r="B109" s="31"/>
      <c r="D109" s="1"/>
    </row>
    <row r="110" spans="2:35" ht="37" x14ac:dyDescent="0.45">
      <c r="B110" s="32" t="s">
        <v>43</v>
      </c>
      <c r="C110" s="15"/>
      <c r="D110" s="3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7"/>
    </row>
    <row r="111" spans="2:35" ht="16" thickBot="1" x14ac:dyDescent="0.25">
      <c r="B111" s="18"/>
      <c r="C111" s="19"/>
      <c r="D111" s="3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</row>
    <row r="112" spans="2:35" x14ac:dyDescent="0.2">
      <c r="B112" s="22"/>
      <c r="C112" s="43" t="s">
        <v>0</v>
      </c>
      <c r="D112" s="34"/>
      <c r="E112" s="34" t="s">
        <v>1</v>
      </c>
      <c r="F112" s="34" t="s">
        <v>2</v>
      </c>
      <c r="G112" s="34" t="s">
        <v>3</v>
      </c>
      <c r="H112" s="34" t="s">
        <v>4</v>
      </c>
      <c r="I112" s="34" t="s">
        <v>5</v>
      </c>
      <c r="J112" s="34" t="s">
        <v>6</v>
      </c>
      <c r="K112" s="45" t="s">
        <v>7</v>
      </c>
      <c r="L112" s="45"/>
      <c r="M112" s="34" t="s">
        <v>1</v>
      </c>
      <c r="N112" s="34" t="s">
        <v>2</v>
      </c>
      <c r="O112" s="34" t="s">
        <v>3</v>
      </c>
      <c r="P112" s="34" t="s">
        <v>4</v>
      </c>
      <c r="Q112" s="34" t="s">
        <v>5</v>
      </c>
      <c r="R112" s="34" t="s">
        <v>6</v>
      </c>
      <c r="S112" s="45" t="s">
        <v>8</v>
      </c>
      <c r="T112" s="45"/>
      <c r="U112" s="34" t="s">
        <v>1</v>
      </c>
      <c r="V112" s="34" t="s">
        <v>2</v>
      </c>
      <c r="W112" s="34" t="s">
        <v>3</v>
      </c>
      <c r="X112" s="34" t="s">
        <v>4</v>
      </c>
      <c r="Y112" s="34" t="s">
        <v>5</v>
      </c>
      <c r="Z112" s="34" t="s">
        <v>6</v>
      </c>
      <c r="AA112" s="45" t="s">
        <v>9</v>
      </c>
      <c r="AB112" s="45"/>
      <c r="AC112" s="34" t="s">
        <v>1</v>
      </c>
      <c r="AD112" s="34" t="s">
        <v>2</v>
      </c>
      <c r="AE112" s="34" t="s">
        <v>3</v>
      </c>
      <c r="AF112" s="34" t="s">
        <v>4</v>
      </c>
      <c r="AG112" s="34" t="s">
        <v>5</v>
      </c>
      <c r="AH112" s="35" t="s">
        <v>6</v>
      </c>
      <c r="AI112" s="21"/>
    </row>
    <row r="113" spans="2:35" x14ac:dyDescent="0.2">
      <c r="B113" s="22"/>
      <c r="C113" s="23"/>
      <c r="D113" s="41" t="s">
        <v>10</v>
      </c>
      <c r="E113" s="40">
        <v>778668</v>
      </c>
      <c r="F113" s="40">
        <v>168214</v>
      </c>
      <c r="G113" s="40">
        <v>206275</v>
      </c>
      <c r="H113" s="40">
        <v>209787</v>
      </c>
      <c r="I113" s="40">
        <v>205319</v>
      </c>
      <c r="J113" s="40">
        <v>202418</v>
      </c>
      <c r="K113" s="20"/>
      <c r="L113" s="20"/>
      <c r="M113" s="40">
        <v>3139567</v>
      </c>
      <c r="N113" s="40">
        <v>1356165</v>
      </c>
      <c r="O113" s="40">
        <v>774805</v>
      </c>
      <c r="P113" s="40">
        <v>772269</v>
      </c>
      <c r="Q113" s="40">
        <v>776669</v>
      </c>
      <c r="R113" s="40">
        <v>761671</v>
      </c>
      <c r="S113" s="20"/>
      <c r="T113" s="20"/>
      <c r="U113" s="40">
        <v>25428982</v>
      </c>
      <c r="V113" s="40">
        <v>10538242</v>
      </c>
      <c r="W113" s="40">
        <v>6416076</v>
      </c>
      <c r="X113" s="40">
        <v>6121442</v>
      </c>
      <c r="Y113" s="40">
        <v>6343368</v>
      </c>
      <c r="Z113" s="40">
        <v>5544022</v>
      </c>
      <c r="AA113" s="20"/>
      <c r="AB113" s="20"/>
      <c r="AC113" s="40">
        <v>171671397</v>
      </c>
      <c r="AD113" s="40">
        <v>83873720</v>
      </c>
      <c r="AE113" s="40">
        <v>42337341</v>
      </c>
      <c r="AF113" s="40">
        <v>45555758</v>
      </c>
      <c r="AG113" s="40">
        <v>42759367</v>
      </c>
      <c r="AH113" s="42">
        <v>43661993</v>
      </c>
      <c r="AI113" s="21"/>
    </row>
    <row r="114" spans="2:35" x14ac:dyDescent="0.2">
      <c r="B114" s="22"/>
      <c r="C114" s="23"/>
      <c r="D114" s="41" t="s">
        <v>11</v>
      </c>
      <c r="E114" s="40">
        <v>793584</v>
      </c>
      <c r="F114" s="40">
        <v>165312</v>
      </c>
      <c r="G114" s="40">
        <v>200370</v>
      </c>
      <c r="H114" s="40">
        <v>207571</v>
      </c>
      <c r="I114" s="40">
        <v>200226</v>
      </c>
      <c r="J114" s="40">
        <v>203207</v>
      </c>
      <c r="K114" s="20"/>
      <c r="L114" s="20"/>
      <c r="M114" s="40">
        <v>3117571</v>
      </c>
      <c r="N114" s="40">
        <v>1374165</v>
      </c>
      <c r="O114" s="40">
        <v>775575</v>
      </c>
      <c r="P114" s="40">
        <v>797223</v>
      </c>
      <c r="Q114" s="40">
        <v>771788</v>
      </c>
      <c r="R114" s="40">
        <v>764488</v>
      </c>
      <c r="S114" s="20"/>
      <c r="T114" s="20"/>
      <c r="U114" s="40">
        <v>25881528</v>
      </c>
      <c r="V114" s="40">
        <v>11000835</v>
      </c>
      <c r="W114" s="40">
        <v>6536398</v>
      </c>
      <c r="X114" s="40">
        <v>5969126</v>
      </c>
      <c r="Y114" s="40">
        <v>6325017</v>
      </c>
      <c r="Z114" s="40">
        <v>6362813</v>
      </c>
      <c r="AA114" s="20"/>
      <c r="AB114" s="20"/>
      <c r="AC114" s="40">
        <v>172969382</v>
      </c>
      <c r="AD114" s="40">
        <v>79799970</v>
      </c>
      <c r="AE114" s="40">
        <v>43125071</v>
      </c>
      <c r="AF114" s="40">
        <v>42258619</v>
      </c>
      <c r="AG114" s="40">
        <v>43075124</v>
      </c>
      <c r="AH114" s="42">
        <v>39982264</v>
      </c>
      <c r="AI114" s="21"/>
    </row>
    <row r="115" spans="2:35" x14ac:dyDescent="0.2">
      <c r="B115" s="22"/>
      <c r="C115" s="23"/>
      <c r="D115" s="41" t="s">
        <v>12</v>
      </c>
      <c r="E115" s="40">
        <v>774586</v>
      </c>
      <c r="F115" s="40">
        <v>168854</v>
      </c>
      <c r="G115" s="40">
        <v>200479</v>
      </c>
      <c r="H115" s="40">
        <v>205615</v>
      </c>
      <c r="I115" s="40">
        <v>218808</v>
      </c>
      <c r="J115" s="40">
        <v>202372</v>
      </c>
      <c r="K115" s="20"/>
      <c r="L115" s="20"/>
      <c r="M115" s="40">
        <v>3098026</v>
      </c>
      <c r="N115" s="40">
        <v>1363208</v>
      </c>
      <c r="O115" s="40">
        <v>783569</v>
      </c>
      <c r="P115" s="40">
        <v>790748</v>
      </c>
      <c r="Q115" s="40">
        <v>797454</v>
      </c>
      <c r="R115" s="40">
        <v>769519</v>
      </c>
      <c r="S115" s="20"/>
      <c r="T115" s="20"/>
      <c r="U115" s="40">
        <v>26163344</v>
      </c>
      <c r="V115" s="40">
        <v>11138640</v>
      </c>
      <c r="W115" s="40">
        <v>6527147</v>
      </c>
      <c r="X115" s="40">
        <v>6091211</v>
      </c>
      <c r="Y115" s="40">
        <v>6350993</v>
      </c>
      <c r="Z115" s="40">
        <v>6066115</v>
      </c>
      <c r="AA115" s="20"/>
      <c r="AB115" s="20"/>
      <c r="AC115" s="40">
        <v>179296843</v>
      </c>
      <c r="AD115" s="40">
        <v>83521732</v>
      </c>
      <c r="AE115" s="40">
        <v>45022822</v>
      </c>
      <c r="AF115" s="40">
        <v>42973734</v>
      </c>
      <c r="AG115" s="40">
        <v>42792604</v>
      </c>
      <c r="AH115" s="42">
        <v>40475977</v>
      </c>
      <c r="AI115" s="21"/>
    </row>
    <row r="116" spans="2:35" x14ac:dyDescent="0.2">
      <c r="B116" s="22"/>
      <c r="C116" s="23"/>
      <c r="D116" s="41" t="s">
        <v>13</v>
      </c>
      <c r="E116" s="40">
        <v>784002</v>
      </c>
      <c r="F116" s="40">
        <v>171266</v>
      </c>
      <c r="G116" s="40">
        <v>201457</v>
      </c>
      <c r="H116" s="40">
        <v>202413</v>
      </c>
      <c r="I116" s="40">
        <v>204330</v>
      </c>
      <c r="J116" s="40">
        <v>200958</v>
      </c>
      <c r="K116" s="20"/>
      <c r="L116" s="20"/>
      <c r="M116" s="40">
        <v>3081171</v>
      </c>
      <c r="N116" s="40">
        <v>1361719</v>
      </c>
      <c r="O116" s="40">
        <v>905622</v>
      </c>
      <c r="P116" s="40">
        <v>769351</v>
      </c>
      <c r="Q116" s="40">
        <v>772610</v>
      </c>
      <c r="R116" s="40">
        <v>794762</v>
      </c>
      <c r="S116" s="20"/>
      <c r="T116" s="20"/>
      <c r="U116" s="40">
        <v>26615628</v>
      </c>
      <c r="V116" s="40">
        <v>11016120</v>
      </c>
      <c r="W116" s="40">
        <v>6295165</v>
      </c>
      <c r="X116" s="40">
        <v>6382838</v>
      </c>
      <c r="Y116" s="40">
        <v>6393246</v>
      </c>
      <c r="Z116" s="40">
        <v>6126240</v>
      </c>
      <c r="AA116" s="20"/>
      <c r="AB116" s="20"/>
      <c r="AC116" s="40">
        <v>181731634</v>
      </c>
      <c r="AD116" s="40">
        <v>81884988</v>
      </c>
      <c r="AE116" s="40">
        <v>44616483</v>
      </c>
      <c r="AF116" s="40">
        <v>44549204</v>
      </c>
      <c r="AG116" s="40">
        <v>43666503</v>
      </c>
      <c r="AH116" s="42">
        <v>45383557</v>
      </c>
      <c r="AI116" s="21"/>
    </row>
    <row r="117" spans="2:35" x14ac:dyDescent="0.2">
      <c r="B117" s="22"/>
      <c r="C117" s="23"/>
      <c r="D117" s="41" t="s">
        <v>14</v>
      </c>
      <c r="E117" s="40">
        <v>785392</v>
      </c>
      <c r="F117" s="40">
        <v>167234</v>
      </c>
      <c r="G117" s="40">
        <v>203889</v>
      </c>
      <c r="H117" s="40">
        <v>200400</v>
      </c>
      <c r="I117" s="40">
        <v>204808</v>
      </c>
      <c r="J117" s="40">
        <v>199779</v>
      </c>
      <c r="K117" s="20"/>
      <c r="L117" s="20"/>
      <c r="M117" s="40">
        <v>3045007</v>
      </c>
      <c r="N117" s="40">
        <v>1357065</v>
      </c>
      <c r="O117" s="40">
        <v>777194</v>
      </c>
      <c r="P117" s="40">
        <v>772450</v>
      </c>
      <c r="Q117" s="40">
        <v>771116</v>
      </c>
      <c r="R117" s="40">
        <v>794232</v>
      </c>
      <c r="S117" s="20"/>
      <c r="T117" s="20"/>
      <c r="U117" s="40">
        <v>26477074</v>
      </c>
      <c r="V117" s="40">
        <v>11013288</v>
      </c>
      <c r="W117" s="40">
        <v>6436688</v>
      </c>
      <c r="X117" s="40">
        <v>6313972</v>
      </c>
      <c r="Y117" s="40">
        <v>6327106</v>
      </c>
      <c r="Z117" s="40">
        <v>6333948</v>
      </c>
      <c r="AA117" s="20"/>
      <c r="AB117" s="20"/>
      <c r="AC117" s="40">
        <v>164168975</v>
      </c>
      <c r="AD117" s="40">
        <v>79527335</v>
      </c>
      <c r="AE117" s="40">
        <v>44827455</v>
      </c>
      <c r="AF117" s="40">
        <v>42043483</v>
      </c>
      <c r="AG117" s="40">
        <v>42883164</v>
      </c>
      <c r="AH117" s="42">
        <v>43591066</v>
      </c>
      <c r="AI117" s="21"/>
    </row>
    <row r="118" spans="2:35" x14ac:dyDescent="0.2">
      <c r="B118" s="22"/>
      <c r="C118" s="23"/>
      <c r="D118" s="41" t="s">
        <v>15</v>
      </c>
      <c r="E118" s="40">
        <v>795386</v>
      </c>
      <c r="F118" s="40">
        <v>165284</v>
      </c>
      <c r="G118" s="40">
        <v>229511</v>
      </c>
      <c r="H118" s="40">
        <v>201687</v>
      </c>
      <c r="I118" s="40">
        <v>235896</v>
      </c>
      <c r="J118" s="40">
        <v>202235</v>
      </c>
      <c r="K118" s="20"/>
      <c r="L118" s="20"/>
      <c r="M118" s="40">
        <v>3146486</v>
      </c>
      <c r="N118" s="40">
        <v>1343564</v>
      </c>
      <c r="O118" s="40">
        <v>787044</v>
      </c>
      <c r="P118" s="40">
        <v>772585</v>
      </c>
      <c r="Q118" s="40">
        <v>799780</v>
      </c>
      <c r="R118" s="40">
        <v>774812</v>
      </c>
      <c r="S118" s="20"/>
      <c r="T118" s="20"/>
      <c r="U118" s="40">
        <v>26547948</v>
      </c>
      <c r="V118" s="40">
        <v>11126707</v>
      </c>
      <c r="W118" s="40">
        <v>6638537</v>
      </c>
      <c r="X118" s="40">
        <v>6370140</v>
      </c>
      <c r="Y118" s="40">
        <v>6294239</v>
      </c>
      <c r="Z118" s="40">
        <v>6329088</v>
      </c>
      <c r="AA118" s="20"/>
      <c r="AB118" s="20"/>
      <c r="AC118" s="40">
        <v>174705318</v>
      </c>
      <c r="AD118" s="40">
        <v>81738724</v>
      </c>
      <c r="AE118" s="40">
        <v>44113836</v>
      </c>
      <c r="AF118" s="40">
        <v>40784140</v>
      </c>
      <c r="AG118" s="40">
        <v>74761106</v>
      </c>
      <c r="AH118" s="42">
        <v>42704307</v>
      </c>
      <c r="AI118" s="21"/>
    </row>
    <row r="119" spans="2:35" x14ac:dyDescent="0.2">
      <c r="B119" s="22"/>
      <c r="C119" s="23"/>
      <c r="D119" s="41" t="s">
        <v>16</v>
      </c>
      <c r="E119" s="40">
        <v>802464</v>
      </c>
      <c r="F119" s="40">
        <v>168386</v>
      </c>
      <c r="G119" s="40">
        <v>205401</v>
      </c>
      <c r="H119" s="40">
        <v>260799</v>
      </c>
      <c r="I119" s="40">
        <v>220792</v>
      </c>
      <c r="J119" s="40">
        <v>206555</v>
      </c>
      <c r="K119" s="20"/>
      <c r="L119" s="20"/>
      <c r="M119" s="40">
        <v>3131440</v>
      </c>
      <c r="N119" s="40">
        <v>1366120</v>
      </c>
      <c r="O119" s="40">
        <v>766256</v>
      </c>
      <c r="P119" s="40">
        <v>816847</v>
      </c>
      <c r="Q119" s="40">
        <v>785294</v>
      </c>
      <c r="R119" s="40">
        <v>770139</v>
      </c>
      <c r="S119" s="20"/>
      <c r="T119" s="20"/>
      <c r="U119" s="40">
        <v>26518478</v>
      </c>
      <c r="V119" s="40">
        <v>10498047</v>
      </c>
      <c r="W119" s="40">
        <v>6543051</v>
      </c>
      <c r="X119" s="40">
        <v>6332345</v>
      </c>
      <c r="Y119" s="40">
        <v>6347294</v>
      </c>
      <c r="Z119" s="40">
        <v>6271021</v>
      </c>
      <c r="AA119" s="20"/>
      <c r="AB119" s="20"/>
      <c r="AC119" s="40">
        <v>173939112</v>
      </c>
      <c r="AD119" s="40">
        <v>82144634</v>
      </c>
      <c r="AE119" s="40">
        <v>43444802</v>
      </c>
      <c r="AF119" s="40">
        <v>43049808</v>
      </c>
      <c r="AG119" s="40">
        <v>87708054</v>
      </c>
      <c r="AH119" s="42">
        <v>41691768</v>
      </c>
      <c r="AI119" s="21"/>
    </row>
    <row r="120" spans="2:35" x14ac:dyDescent="0.2">
      <c r="B120" s="22"/>
      <c r="C120" s="23"/>
      <c r="D120" s="41" t="s">
        <v>17</v>
      </c>
      <c r="E120" s="40">
        <v>781360</v>
      </c>
      <c r="F120" s="40">
        <v>167316</v>
      </c>
      <c r="G120" s="40">
        <v>208458</v>
      </c>
      <c r="H120" s="40">
        <v>206247</v>
      </c>
      <c r="I120" s="40">
        <v>202647</v>
      </c>
      <c r="J120" s="40">
        <v>213113</v>
      </c>
      <c r="K120" s="20"/>
      <c r="L120" s="20"/>
      <c r="M120" s="40">
        <v>3133507</v>
      </c>
      <c r="N120" s="40">
        <v>1356387</v>
      </c>
      <c r="O120" s="40">
        <v>770414</v>
      </c>
      <c r="P120" s="40">
        <v>790490</v>
      </c>
      <c r="Q120" s="40">
        <v>813614</v>
      </c>
      <c r="R120" s="40">
        <v>786446</v>
      </c>
      <c r="S120" s="20"/>
      <c r="T120" s="20"/>
      <c r="U120" s="40">
        <v>26592142</v>
      </c>
      <c r="V120" s="40">
        <v>11057525</v>
      </c>
      <c r="W120" s="40">
        <v>6438714</v>
      </c>
      <c r="X120" s="40">
        <v>6227428</v>
      </c>
      <c r="Y120" s="40">
        <v>6337304</v>
      </c>
      <c r="Z120" s="40">
        <v>6010443</v>
      </c>
      <c r="AA120" s="20"/>
      <c r="AB120" s="20"/>
      <c r="AC120" s="40">
        <v>182463892</v>
      </c>
      <c r="AD120" s="40">
        <v>83607572</v>
      </c>
      <c r="AE120" s="40">
        <v>46210025</v>
      </c>
      <c r="AF120" s="40">
        <v>42116843</v>
      </c>
      <c r="AG120" s="40">
        <v>49278626</v>
      </c>
      <c r="AH120" s="42">
        <v>41729339</v>
      </c>
      <c r="AI120" s="21"/>
    </row>
    <row r="121" spans="2:35" x14ac:dyDescent="0.2">
      <c r="B121" s="22"/>
      <c r="C121" s="23"/>
      <c r="D121" s="41" t="s">
        <v>18</v>
      </c>
      <c r="E121" s="40">
        <v>834147</v>
      </c>
      <c r="F121" s="40">
        <v>165588</v>
      </c>
      <c r="G121" s="40">
        <v>208938</v>
      </c>
      <c r="H121" s="40">
        <v>207451</v>
      </c>
      <c r="I121" s="40">
        <v>203636</v>
      </c>
      <c r="J121" s="40">
        <v>201752</v>
      </c>
      <c r="K121" s="20"/>
      <c r="L121" s="20"/>
      <c r="M121" s="40">
        <v>3028124</v>
      </c>
      <c r="N121" s="40">
        <v>1350200</v>
      </c>
      <c r="O121" s="40">
        <v>761067</v>
      </c>
      <c r="P121" s="40">
        <v>770925</v>
      </c>
      <c r="Q121" s="40">
        <v>765972</v>
      </c>
      <c r="R121" s="40">
        <v>780185</v>
      </c>
      <c r="S121" s="20"/>
      <c r="T121" s="20"/>
      <c r="U121" s="40">
        <v>26835448</v>
      </c>
      <c r="V121" s="40">
        <v>11574123</v>
      </c>
      <c r="W121" s="40">
        <v>6488949</v>
      </c>
      <c r="X121" s="40">
        <v>5916889</v>
      </c>
      <c r="Y121" s="40">
        <v>6346973</v>
      </c>
      <c r="Z121" s="40">
        <v>6354654</v>
      </c>
      <c r="AA121" s="20"/>
      <c r="AB121" s="20"/>
      <c r="AC121" s="40">
        <v>172786783</v>
      </c>
      <c r="AD121" s="40">
        <v>82482467</v>
      </c>
      <c r="AE121" s="40">
        <v>45653303</v>
      </c>
      <c r="AF121" s="40">
        <v>43316721</v>
      </c>
      <c r="AG121" s="40">
        <v>49704756</v>
      </c>
      <c r="AH121" s="42">
        <v>40967542</v>
      </c>
      <c r="AI121" s="21"/>
    </row>
    <row r="122" spans="2:35" x14ac:dyDescent="0.2">
      <c r="B122" s="22"/>
      <c r="C122" s="23"/>
      <c r="D122" s="41" t="s">
        <v>19</v>
      </c>
      <c r="E122" s="40">
        <v>788989</v>
      </c>
      <c r="F122" s="40">
        <v>170333</v>
      </c>
      <c r="G122" s="40">
        <v>204955</v>
      </c>
      <c r="H122" s="40">
        <v>208086</v>
      </c>
      <c r="I122" s="40">
        <v>220963</v>
      </c>
      <c r="J122" s="40">
        <v>200877</v>
      </c>
      <c r="K122" s="20"/>
      <c r="L122" s="20"/>
      <c r="M122" s="40">
        <v>3099423</v>
      </c>
      <c r="N122" s="40">
        <v>1361819</v>
      </c>
      <c r="O122" s="40">
        <v>779214</v>
      </c>
      <c r="P122" s="40">
        <v>762405</v>
      </c>
      <c r="Q122" s="40">
        <v>811896</v>
      </c>
      <c r="R122" s="40">
        <v>760068</v>
      </c>
      <c r="S122" s="20"/>
      <c r="T122" s="20"/>
      <c r="U122" s="40">
        <v>26495086</v>
      </c>
      <c r="V122" s="40">
        <v>11022122</v>
      </c>
      <c r="W122" s="40">
        <v>6518886</v>
      </c>
      <c r="X122" s="40">
        <v>6522611</v>
      </c>
      <c r="Y122" s="40">
        <v>6306645</v>
      </c>
      <c r="Z122" s="40">
        <v>6424396</v>
      </c>
      <c r="AA122" s="20"/>
      <c r="AB122" s="20"/>
      <c r="AC122" s="40">
        <v>166372956</v>
      </c>
      <c r="AD122" s="40">
        <v>86253250</v>
      </c>
      <c r="AE122" s="40">
        <v>44140611</v>
      </c>
      <c r="AF122" s="40">
        <v>39907514</v>
      </c>
      <c r="AG122" s="40">
        <v>49686248</v>
      </c>
      <c r="AH122" s="42">
        <v>40156712</v>
      </c>
      <c r="AI122" s="21"/>
    </row>
    <row r="123" spans="2:35" x14ac:dyDescent="0.2">
      <c r="B123" s="22"/>
      <c r="C123" s="23"/>
      <c r="D123" s="41" t="s">
        <v>20</v>
      </c>
      <c r="E123" s="40">
        <v>777370</v>
      </c>
      <c r="F123" s="40">
        <v>165712</v>
      </c>
      <c r="G123" s="40">
        <v>200994</v>
      </c>
      <c r="H123" s="40">
        <v>202693</v>
      </c>
      <c r="I123" s="40">
        <v>206825</v>
      </c>
      <c r="J123" s="40">
        <v>200888</v>
      </c>
      <c r="K123" s="20"/>
      <c r="L123" s="20"/>
      <c r="M123" s="40">
        <v>3034877</v>
      </c>
      <c r="N123" s="40">
        <v>1371116</v>
      </c>
      <c r="O123" s="40">
        <v>762859</v>
      </c>
      <c r="P123" s="40">
        <v>809398</v>
      </c>
      <c r="Q123" s="40">
        <v>803310</v>
      </c>
      <c r="R123" s="40">
        <v>788235</v>
      </c>
      <c r="S123" s="20"/>
      <c r="T123" s="20"/>
      <c r="U123" s="40">
        <v>23729041</v>
      </c>
      <c r="V123" s="40">
        <v>11612580</v>
      </c>
      <c r="W123" s="40">
        <v>6482214</v>
      </c>
      <c r="X123" s="40">
        <v>5963306</v>
      </c>
      <c r="Y123" s="40">
        <v>6320565</v>
      </c>
      <c r="Z123" s="40">
        <v>6403861</v>
      </c>
      <c r="AA123" s="20"/>
      <c r="AB123" s="20"/>
      <c r="AC123" s="40">
        <v>176696957</v>
      </c>
      <c r="AD123" s="40">
        <v>78532387</v>
      </c>
      <c r="AE123" s="40">
        <v>43540074</v>
      </c>
      <c r="AF123" s="40">
        <v>41852946</v>
      </c>
      <c r="AG123" s="40">
        <v>44312095</v>
      </c>
      <c r="AH123" s="42">
        <v>42100263</v>
      </c>
      <c r="AI123" s="21"/>
    </row>
    <row r="124" spans="2:35" x14ac:dyDescent="0.2">
      <c r="B124" s="22"/>
      <c r="C124" s="23"/>
      <c r="D124" s="41" t="s">
        <v>21</v>
      </c>
      <c r="E124" s="40">
        <v>780304</v>
      </c>
      <c r="F124" s="40">
        <v>161877</v>
      </c>
      <c r="G124" s="40">
        <v>200003</v>
      </c>
      <c r="H124" s="40">
        <v>214012</v>
      </c>
      <c r="I124" s="40">
        <v>290511</v>
      </c>
      <c r="J124" s="40">
        <v>201831</v>
      </c>
      <c r="K124" s="20"/>
      <c r="L124" s="20"/>
      <c r="M124" s="40">
        <v>3149033</v>
      </c>
      <c r="N124" s="40">
        <v>1364475</v>
      </c>
      <c r="O124" s="40">
        <v>765044</v>
      </c>
      <c r="P124" s="40">
        <v>790652</v>
      </c>
      <c r="Q124" s="40">
        <v>814811</v>
      </c>
      <c r="R124" s="40">
        <v>776993</v>
      </c>
      <c r="S124" s="20"/>
      <c r="T124" s="20"/>
      <c r="U124" s="40">
        <v>26631788</v>
      </c>
      <c r="V124" s="40">
        <v>11100008</v>
      </c>
      <c r="W124" s="40">
        <v>6473192</v>
      </c>
      <c r="X124" s="40">
        <v>5598006</v>
      </c>
      <c r="Y124" s="40">
        <v>6361636</v>
      </c>
      <c r="Z124" s="40">
        <v>6387369</v>
      </c>
      <c r="AA124" s="20"/>
      <c r="AB124" s="20"/>
      <c r="AC124" s="40">
        <v>177856055</v>
      </c>
      <c r="AD124" s="40">
        <v>83322730</v>
      </c>
      <c r="AE124" s="40">
        <v>44315612</v>
      </c>
      <c r="AF124" s="40">
        <v>42744846</v>
      </c>
      <c r="AG124" s="40">
        <v>54198793</v>
      </c>
      <c r="AH124" s="42">
        <v>40998757</v>
      </c>
      <c r="AI124" s="21"/>
    </row>
    <row r="125" spans="2:35" x14ac:dyDescent="0.2">
      <c r="B125" s="22"/>
      <c r="C125" s="23"/>
      <c r="D125" s="41" t="s">
        <v>22</v>
      </c>
      <c r="E125" s="40">
        <v>789159</v>
      </c>
      <c r="F125" s="40">
        <v>167305</v>
      </c>
      <c r="G125" s="40">
        <v>203255</v>
      </c>
      <c r="H125" s="40">
        <v>202418</v>
      </c>
      <c r="I125" s="40">
        <v>466859</v>
      </c>
      <c r="J125" s="40">
        <v>202948</v>
      </c>
      <c r="K125" s="20"/>
      <c r="L125" s="20"/>
      <c r="M125" s="40">
        <v>3146721</v>
      </c>
      <c r="N125" s="40">
        <v>1338325</v>
      </c>
      <c r="O125" s="40">
        <v>778776</v>
      </c>
      <c r="P125" s="40">
        <v>798445</v>
      </c>
      <c r="Q125" s="40">
        <v>782622</v>
      </c>
      <c r="R125" s="40">
        <v>781233</v>
      </c>
      <c r="S125" s="20"/>
      <c r="T125" s="20"/>
      <c r="U125" s="40">
        <v>26013500</v>
      </c>
      <c r="V125" s="40">
        <v>10783426</v>
      </c>
      <c r="W125" s="40">
        <v>6495823</v>
      </c>
      <c r="X125" s="40">
        <v>6069704</v>
      </c>
      <c r="Y125" s="40">
        <v>6353974</v>
      </c>
      <c r="Z125" s="40">
        <v>6178613</v>
      </c>
      <c r="AA125" s="20"/>
      <c r="AB125" s="20"/>
      <c r="AC125" s="40">
        <v>174345551</v>
      </c>
      <c r="AD125" s="40">
        <v>83808658</v>
      </c>
      <c r="AE125" s="40">
        <v>44759672</v>
      </c>
      <c r="AF125" s="40">
        <v>43611210</v>
      </c>
      <c r="AG125" s="40">
        <v>42886583</v>
      </c>
      <c r="AH125" s="42">
        <v>39838021</v>
      </c>
      <c r="AI125" s="21"/>
    </row>
    <row r="126" spans="2:35" x14ac:dyDescent="0.2">
      <c r="B126" s="22"/>
      <c r="C126" s="23"/>
      <c r="D126" s="41" t="s">
        <v>23</v>
      </c>
      <c r="E126" s="40">
        <v>781224</v>
      </c>
      <c r="F126" s="40">
        <v>165850</v>
      </c>
      <c r="G126" s="40">
        <v>201384</v>
      </c>
      <c r="H126" s="40">
        <v>202284</v>
      </c>
      <c r="I126" s="40">
        <v>390158</v>
      </c>
      <c r="J126" s="40">
        <v>212322</v>
      </c>
      <c r="K126" s="20"/>
      <c r="L126" s="20"/>
      <c r="M126" s="40">
        <v>3064331</v>
      </c>
      <c r="N126" s="40">
        <v>1392601</v>
      </c>
      <c r="O126" s="40">
        <v>773340</v>
      </c>
      <c r="P126" s="40">
        <v>812767</v>
      </c>
      <c r="Q126" s="40">
        <v>808430</v>
      </c>
      <c r="R126" s="40">
        <v>780530</v>
      </c>
      <c r="S126" s="20"/>
      <c r="T126" s="20"/>
      <c r="U126" s="40">
        <v>26571943</v>
      </c>
      <c r="V126" s="40">
        <v>11050788</v>
      </c>
      <c r="W126" s="40">
        <v>6567040</v>
      </c>
      <c r="X126" s="40">
        <v>6182356</v>
      </c>
      <c r="Y126" s="40">
        <v>6081700</v>
      </c>
      <c r="Z126" s="40">
        <v>5721333</v>
      </c>
      <c r="AA126" s="20"/>
      <c r="AB126" s="20"/>
      <c r="AC126" s="40">
        <v>172753476</v>
      </c>
      <c r="AD126" s="40">
        <v>86752713</v>
      </c>
      <c r="AE126" s="40">
        <v>45777272</v>
      </c>
      <c r="AF126" s="40">
        <v>42483815</v>
      </c>
      <c r="AG126" s="40">
        <v>45991635</v>
      </c>
      <c r="AH126" s="42">
        <v>42202260</v>
      </c>
      <c r="AI126" s="21"/>
    </row>
    <row r="127" spans="2:35" x14ac:dyDescent="0.2">
      <c r="B127" s="22"/>
      <c r="C127" s="23"/>
      <c r="D127" s="41" t="s">
        <v>24</v>
      </c>
      <c r="E127" s="40">
        <v>780409</v>
      </c>
      <c r="F127" s="40">
        <v>165158</v>
      </c>
      <c r="G127" s="40">
        <v>208929</v>
      </c>
      <c r="H127" s="40">
        <v>212734</v>
      </c>
      <c r="I127" s="40">
        <v>335439</v>
      </c>
      <c r="J127" s="40">
        <v>200296</v>
      </c>
      <c r="K127" s="20"/>
      <c r="L127" s="20"/>
      <c r="M127" s="40">
        <v>3047231</v>
      </c>
      <c r="N127" s="40">
        <v>1359542</v>
      </c>
      <c r="O127" s="40">
        <v>774225</v>
      </c>
      <c r="P127" s="40">
        <v>771533</v>
      </c>
      <c r="Q127" s="40">
        <v>799858</v>
      </c>
      <c r="R127" s="40">
        <v>802926</v>
      </c>
      <c r="S127" s="20"/>
      <c r="T127" s="20"/>
      <c r="U127" s="40">
        <v>23302408</v>
      </c>
      <c r="V127" s="40">
        <v>11043956</v>
      </c>
      <c r="W127" s="40">
        <v>6481366</v>
      </c>
      <c r="X127" s="40">
        <v>5839471</v>
      </c>
      <c r="Y127" s="40">
        <v>6240225</v>
      </c>
      <c r="Z127" s="40">
        <v>6381392</v>
      </c>
      <c r="AA127" s="20"/>
      <c r="AB127" s="20"/>
      <c r="AC127" s="40">
        <v>165540737</v>
      </c>
      <c r="AD127" s="40">
        <v>79461855</v>
      </c>
      <c r="AE127" s="40">
        <v>44183309</v>
      </c>
      <c r="AF127" s="40">
        <v>41221415</v>
      </c>
      <c r="AG127" s="40">
        <v>40904190</v>
      </c>
      <c r="AH127" s="42">
        <v>43242565</v>
      </c>
      <c r="AI127" s="21"/>
    </row>
    <row r="128" spans="2:35" x14ac:dyDescent="0.2">
      <c r="B128" s="22"/>
      <c r="C128" s="23"/>
      <c r="D128" s="41" t="s">
        <v>25</v>
      </c>
      <c r="E128" s="40">
        <v>809582</v>
      </c>
      <c r="F128" s="40">
        <v>166056</v>
      </c>
      <c r="G128" s="40">
        <v>262144</v>
      </c>
      <c r="H128" s="40">
        <v>202627</v>
      </c>
      <c r="I128" s="40">
        <v>341772</v>
      </c>
      <c r="J128" s="40">
        <v>223065</v>
      </c>
      <c r="K128" s="20"/>
      <c r="L128" s="20"/>
      <c r="M128" s="40">
        <v>3106703</v>
      </c>
      <c r="N128" s="40">
        <v>1357291</v>
      </c>
      <c r="O128" s="40">
        <v>779974</v>
      </c>
      <c r="P128" s="40">
        <v>782776</v>
      </c>
      <c r="Q128" s="40">
        <v>803113</v>
      </c>
      <c r="R128" s="40">
        <v>769329</v>
      </c>
      <c r="S128" s="20"/>
      <c r="T128" s="20"/>
      <c r="U128" s="40">
        <v>25658701</v>
      </c>
      <c r="V128" s="40">
        <v>11151729</v>
      </c>
      <c r="W128" s="40">
        <v>6691270</v>
      </c>
      <c r="X128" s="40">
        <v>6385899</v>
      </c>
      <c r="Y128" s="40">
        <v>6309379</v>
      </c>
      <c r="Z128" s="40">
        <v>6524231</v>
      </c>
      <c r="AA128" s="20"/>
      <c r="AB128" s="20"/>
      <c r="AC128" s="40">
        <v>178551946</v>
      </c>
      <c r="AD128" s="40">
        <v>78331187</v>
      </c>
      <c r="AE128" s="40">
        <v>44777129</v>
      </c>
      <c r="AF128" s="40">
        <v>42197889</v>
      </c>
      <c r="AG128" s="40">
        <v>40280906</v>
      </c>
      <c r="AH128" s="42">
        <v>40925983</v>
      </c>
      <c r="AI128" s="21"/>
    </row>
    <row r="129" spans="2:35" x14ac:dyDescent="0.2">
      <c r="B129" s="22"/>
      <c r="C129" s="23"/>
      <c r="D129" s="41" t="s">
        <v>26</v>
      </c>
      <c r="E129" s="40">
        <v>787257</v>
      </c>
      <c r="F129" s="40">
        <v>167912</v>
      </c>
      <c r="G129" s="40">
        <v>201068</v>
      </c>
      <c r="H129" s="40">
        <v>205117</v>
      </c>
      <c r="I129" s="40">
        <v>409282</v>
      </c>
      <c r="J129" s="40">
        <v>201521</v>
      </c>
      <c r="K129" s="20"/>
      <c r="L129" s="20"/>
      <c r="M129" s="40">
        <v>3267876</v>
      </c>
      <c r="N129" s="40">
        <v>1349981</v>
      </c>
      <c r="O129" s="40">
        <v>789603</v>
      </c>
      <c r="P129" s="40">
        <v>806297</v>
      </c>
      <c r="Q129" s="40">
        <v>771133</v>
      </c>
      <c r="R129" s="40">
        <v>795002</v>
      </c>
      <c r="S129" s="20"/>
      <c r="T129" s="20"/>
      <c r="U129" s="40">
        <v>26322378</v>
      </c>
      <c r="V129" s="40">
        <v>10653881</v>
      </c>
      <c r="W129" s="40">
        <v>6512209</v>
      </c>
      <c r="X129" s="40">
        <v>7351265</v>
      </c>
      <c r="Y129" s="40">
        <v>6398739</v>
      </c>
      <c r="Z129" s="40">
        <v>5901969</v>
      </c>
      <c r="AA129" s="20"/>
      <c r="AB129" s="20"/>
      <c r="AC129" s="40">
        <v>182482276</v>
      </c>
      <c r="AD129" s="40">
        <v>86826825</v>
      </c>
      <c r="AE129" s="40">
        <v>44423409</v>
      </c>
      <c r="AF129" s="40">
        <v>45379797</v>
      </c>
      <c r="AG129" s="40">
        <v>42154190</v>
      </c>
      <c r="AH129" s="42">
        <v>41959005</v>
      </c>
      <c r="AI129" s="21"/>
    </row>
    <row r="130" spans="2:35" x14ac:dyDescent="0.2">
      <c r="B130" s="22"/>
      <c r="C130" s="23"/>
      <c r="D130" s="41" t="s">
        <v>27</v>
      </c>
      <c r="E130" s="40">
        <v>780316</v>
      </c>
      <c r="F130" s="40">
        <v>172967</v>
      </c>
      <c r="G130" s="40">
        <v>218574</v>
      </c>
      <c r="H130" s="40">
        <v>201322</v>
      </c>
      <c r="I130" s="40">
        <v>465710</v>
      </c>
      <c r="J130" s="40">
        <v>205379</v>
      </c>
      <c r="K130" s="20"/>
      <c r="L130" s="20"/>
      <c r="M130" s="40">
        <v>3102370</v>
      </c>
      <c r="N130" s="40">
        <v>1362509</v>
      </c>
      <c r="O130" s="40">
        <v>775057</v>
      </c>
      <c r="P130" s="40">
        <v>821899</v>
      </c>
      <c r="Q130" s="40">
        <v>778371</v>
      </c>
      <c r="R130" s="40">
        <v>772025</v>
      </c>
      <c r="S130" s="20"/>
      <c r="T130" s="20"/>
      <c r="U130" s="40">
        <v>26921573</v>
      </c>
      <c r="V130" s="40">
        <v>11002957</v>
      </c>
      <c r="W130" s="40">
        <v>6500971</v>
      </c>
      <c r="X130" s="40">
        <v>6380410</v>
      </c>
      <c r="Y130" s="40">
        <v>6133220</v>
      </c>
      <c r="Z130" s="40">
        <v>6045047</v>
      </c>
      <c r="AA130" s="20"/>
      <c r="AB130" s="20"/>
      <c r="AC130" s="40">
        <v>174749785</v>
      </c>
      <c r="AD130" s="40">
        <v>85112807</v>
      </c>
      <c r="AE130" s="40">
        <v>45196588</v>
      </c>
      <c r="AF130" s="40">
        <v>43781815</v>
      </c>
      <c r="AG130" s="40">
        <v>40360238</v>
      </c>
      <c r="AH130" s="42">
        <v>42599640</v>
      </c>
      <c r="AI130" s="21"/>
    </row>
    <row r="131" spans="2:35" x14ac:dyDescent="0.2">
      <c r="B131" s="22"/>
      <c r="C131" s="23"/>
      <c r="D131" s="41" t="s">
        <v>28</v>
      </c>
      <c r="E131" s="40">
        <v>801955</v>
      </c>
      <c r="F131" s="40">
        <v>166022</v>
      </c>
      <c r="G131" s="40">
        <v>210447</v>
      </c>
      <c r="H131" s="40">
        <v>206287</v>
      </c>
      <c r="I131" s="40">
        <v>258509</v>
      </c>
      <c r="J131" s="40">
        <v>209276</v>
      </c>
      <c r="K131" s="20"/>
      <c r="L131" s="20"/>
      <c r="M131" s="40">
        <v>3196289</v>
      </c>
      <c r="N131" s="40">
        <v>1342881</v>
      </c>
      <c r="O131" s="40">
        <v>770475</v>
      </c>
      <c r="P131" s="40">
        <v>791637</v>
      </c>
      <c r="Q131" s="40">
        <v>791193</v>
      </c>
      <c r="R131" s="40">
        <v>774686</v>
      </c>
      <c r="S131" s="20"/>
      <c r="T131" s="20"/>
      <c r="U131" s="40">
        <v>25655023</v>
      </c>
      <c r="V131" s="40">
        <v>11031430</v>
      </c>
      <c r="W131" s="40">
        <v>6533781</v>
      </c>
      <c r="X131" s="40">
        <v>6149668</v>
      </c>
      <c r="Y131" s="40">
        <v>5907137</v>
      </c>
      <c r="Z131" s="40">
        <v>6158855</v>
      </c>
      <c r="AA131" s="20"/>
      <c r="AB131" s="20"/>
      <c r="AC131" s="40">
        <v>176850773</v>
      </c>
      <c r="AD131" s="40">
        <v>82660892</v>
      </c>
      <c r="AE131" s="40">
        <v>44198383</v>
      </c>
      <c r="AF131" s="40">
        <v>43207739</v>
      </c>
      <c r="AG131" s="40">
        <v>40875964</v>
      </c>
      <c r="AH131" s="42">
        <v>41927411</v>
      </c>
      <c r="AI131" s="21"/>
    </row>
    <row r="132" spans="2:35" x14ac:dyDescent="0.2">
      <c r="B132" s="22"/>
      <c r="C132" s="23"/>
      <c r="D132" s="41" t="s">
        <v>29</v>
      </c>
      <c r="E132" s="40">
        <v>790956</v>
      </c>
      <c r="F132" s="40">
        <v>174471</v>
      </c>
      <c r="G132" s="40">
        <v>202575</v>
      </c>
      <c r="H132" s="40">
        <v>197820</v>
      </c>
      <c r="I132" s="40">
        <v>255542</v>
      </c>
      <c r="J132" s="40">
        <v>205407</v>
      </c>
      <c r="K132" s="20"/>
      <c r="L132" s="20"/>
      <c r="M132" s="40">
        <v>3117040</v>
      </c>
      <c r="N132" s="40">
        <v>1355420</v>
      </c>
      <c r="O132" s="40">
        <v>774928</v>
      </c>
      <c r="P132" s="40">
        <v>774799</v>
      </c>
      <c r="Q132" s="40">
        <v>775009</v>
      </c>
      <c r="R132" s="40">
        <v>770054</v>
      </c>
      <c r="S132" s="20"/>
      <c r="T132" s="20"/>
      <c r="U132" s="40">
        <v>26135243</v>
      </c>
      <c r="V132" s="40">
        <v>11136982</v>
      </c>
      <c r="W132" s="40">
        <v>6455975</v>
      </c>
      <c r="X132" s="40">
        <v>6137578</v>
      </c>
      <c r="Y132" s="40">
        <v>5621192</v>
      </c>
      <c r="Z132" s="40">
        <v>6291971</v>
      </c>
      <c r="AA132" s="20"/>
      <c r="AB132" s="20"/>
      <c r="AC132" s="40">
        <v>174196806</v>
      </c>
      <c r="AD132" s="40">
        <v>83365878</v>
      </c>
      <c r="AE132" s="40">
        <v>43131212</v>
      </c>
      <c r="AF132" s="40">
        <v>43336662</v>
      </c>
      <c r="AG132" s="40">
        <v>39785592</v>
      </c>
      <c r="AH132" s="42">
        <v>41499963</v>
      </c>
      <c r="AI132" s="21"/>
    </row>
    <row r="133" spans="2:35" x14ac:dyDescent="0.2">
      <c r="B133" s="22"/>
      <c r="C133" s="23"/>
      <c r="D133" s="41" t="s">
        <v>30</v>
      </c>
      <c r="E133" s="40">
        <v>792728</v>
      </c>
      <c r="F133" s="40">
        <v>163681</v>
      </c>
      <c r="G133" s="40">
        <v>203756</v>
      </c>
      <c r="H133" s="40">
        <v>209071</v>
      </c>
      <c r="I133" s="40">
        <v>262345</v>
      </c>
      <c r="J133" s="40">
        <v>202081</v>
      </c>
      <c r="K133" s="20"/>
      <c r="L133" s="20"/>
      <c r="M133" s="40">
        <v>3089757</v>
      </c>
      <c r="N133" s="40">
        <v>1350177</v>
      </c>
      <c r="O133" s="40">
        <v>893412</v>
      </c>
      <c r="P133" s="40">
        <v>787332</v>
      </c>
      <c r="Q133" s="40">
        <v>775091</v>
      </c>
      <c r="R133" s="40">
        <v>760167</v>
      </c>
      <c r="S133" s="20"/>
      <c r="T133" s="20"/>
      <c r="U133" s="40">
        <v>24812378</v>
      </c>
      <c r="V133" s="40">
        <v>11053184</v>
      </c>
      <c r="W133" s="40">
        <v>6642339</v>
      </c>
      <c r="X133" s="40">
        <v>6410347</v>
      </c>
      <c r="Y133" s="40">
        <v>6269530</v>
      </c>
      <c r="Z133" s="40">
        <v>6344474</v>
      </c>
      <c r="AA133" s="20"/>
      <c r="AB133" s="20"/>
      <c r="AC133" s="40">
        <v>174220192</v>
      </c>
      <c r="AD133" s="40">
        <v>84834847</v>
      </c>
      <c r="AE133" s="40">
        <v>43002037</v>
      </c>
      <c r="AF133" s="40">
        <v>43523870</v>
      </c>
      <c r="AG133" s="40">
        <v>41184755</v>
      </c>
      <c r="AH133" s="42">
        <v>41541399</v>
      </c>
      <c r="AI133" s="21"/>
    </row>
    <row r="134" spans="2:35" x14ac:dyDescent="0.2">
      <c r="B134" s="22"/>
      <c r="C134" s="23"/>
      <c r="D134" s="41" t="s">
        <v>31</v>
      </c>
      <c r="E134" s="40">
        <v>804901</v>
      </c>
      <c r="F134" s="40">
        <v>175187</v>
      </c>
      <c r="G134" s="40">
        <v>198780</v>
      </c>
      <c r="H134" s="40">
        <v>216225</v>
      </c>
      <c r="I134" s="40">
        <v>265495</v>
      </c>
      <c r="J134" s="40">
        <v>202263</v>
      </c>
      <c r="K134" s="20"/>
      <c r="L134" s="20"/>
      <c r="M134" s="40">
        <v>3132380</v>
      </c>
      <c r="N134" s="40">
        <v>1338236</v>
      </c>
      <c r="O134" s="40">
        <v>782925</v>
      </c>
      <c r="P134" s="40">
        <v>773733</v>
      </c>
      <c r="Q134" s="40">
        <v>786161</v>
      </c>
      <c r="R134" s="40">
        <v>766308</v>
      </c>
      <c r="S134" s="20"/>
      <c r="T134" s="20"/>
      <c r="U134" s="40">
        <v>22388029</v>
      </c>
      <c r="V134" s="40">
        <v>11027438</v>
      </c>
      <c r="W134" s="40">
        <v>6441715</v>
      </c>
      <c r="X134" s="40">
        <v>6263853</v>
      </c>
      <c r="Y134" s="40">
        <v>6474943</v>
      </c>
      <c r="Z134" s="40">
        <v>6375610</v>
      </c>
      <c r="AA134" s="20"/>
      <c r="AB134" s="20"/>
      <c r="AC134" s="40">
        <v>175102280</v>
      </c>
      <c r="AD134" s="40">
        <v>80292293</v>
      </c>
      <c r="AE134" s="40">
        <v>45187382</v>
      </c>
      <c r="AF134" s="40">
        <v>41800365</v>
      </c>
      <c r="AG134" s="40">
        <v>40472894</v>
      </c>
      <c r="AH134" s="42">
        <v>43618694</v>
      </c>
      <c r="AI134" s="21"/>
    </row>
    <row r="135" spans="2:35" x14ac:dyDescent="0.2">
      <c r="B135" s="22"/>
      <c r="C135" s="23"/>
      <c r="D135" s="41" t="s">
        <v>32</v>
      </c>
      <c r="E135" s="40">
        <v>800907</v>
      </c>
      <c r="F135" s="40">
        <v>167810</v>
      </c>
      <c r="G135" s="40">
        <v>201630</v>
      </c>
      <c r="H135" s="40">
        <v>200011</v>
      </c>
      <c r="I135" s="40">
        <v>257969</v>
      </c>
      <c r="J135" s="40">
        <v>218793</v>
      </c>
      <c r="K135" s="20"/>
      <c r="L135" s="20"/>
      <c r="M135" s="40">
        <v>3177394</v>
      </c>
      <c r="N135" s="40">
        <v>1383463</v>
      </c>
      <c r="O135" s="40">
        <v>764493</v>
      </c>
      <c r="P135" s="40">
        <v>771700</v>
      </c>
      <c r="Q135" s="40">
        <v>774015</v>
      </c>
      <c r="R135" s="40">
        <v>776753</v>
      </c>
      <c r="S135" s="20"/>
      <c r="T135" s="20"/>
      <c r="U135" s="40">
        <v>25002657</v>
      </c>
      <c r="V135" s="40">
        <v>10537042</v>
      </c>
      <c r="W135" s="40">
        <v>6481941</v>
      </c>
      <c r="X135" s="40">
        <v>6026946</v>
      </c>
      <c r="Y135" s="40">
        <v>6163969</v>
      </c>
      <c r="Z135" s="40">
        <v>6421067</v>
      </c>
      <c r="AA135" s="20"/>
      <c r="AB135" s="20"/>
      <c r="AC135" s="40">
        <v>182760650</v>
      </c>
      <c r="AD135" s="40">
        <v>80071344</v>
      </c>
      <c r="AE135" s="40">
        <v>47334674</v>
      </c>
      <c r="AF135" s="40">
        <v>40588660</v>
      </c>
      <c r="AG135" s="40">
        <v>38111468</v>
      </c>
      <c r="AH135" s="42">
        <v>41302408</v>
      </c>
      <c r="AI135" s="21"/>
    </row>
    <row r="136" spans="2:35" x14ac:dyDescent="0.2">
      <c r="B136" s="22"/>
      <c r="C136" s="23"/>
      <c r="D136" s="41" t="s">
        <v>33</v>
      </c>
      <c r="E136" s="40">
        <v>777421</v>
      </c>
      <c r="F136" s="40">
        <v>165872</v>
      </c>
      <c r="G136" s="40">
        <v>204490</v>
      </c>
      <c r="H136" s="40">
        <v>211635</v>
      </c>
      <c r="I136" s="40">
        <v>254741</v>
      </c>
      <c r="J136" s="40">
        <v>199890</v>
      </c>
      <c r="K136" s="20"/>
      <c r="L136" s="20"/>
      <c r="M136" s="40">
        <v>3127094</v>
      </c>
      <c r="N136" s="40">
        <v>1344153</v>
      </c>
      <c r="O136" s="40">
        <v>758946</v>
      </c>
      <c r="P136" s="40">
        <v>776138</v>
      </c>
      <c r="Q136" s="40">
        <v>775140</v>
      </c>
      <c r="R136" s="40">
        <v>816286</v>
      </c>
      <c r="S136" s="20"/>
      <c r="T136" s="20"/>
      <c r="U136" s="40">
        <v>26074432</v>
      </c>
      <c r="V136" s="40">
        <v>11242082</v>
      </c>
      <c r="W136" s="40">
        <v>6517090</v>
      </c>
      <c r="X136" s="40">
        <v>6210080</v>
      </c>
      <c r="Y136" s="40">
        <v>6491273</v>
      </c>
      <c r="Z136" s="40">
        <v>6109904</v>
      </c>
      <c r="AA136" s="20"/>
      <c r="AB136" s="20"/>
      <c r="AC136" s="40">
        <v>179900423</v>
      </c>
      <c r="AD136" s="40">
        <v>79140695</v>
      </c>
      <c r="AE136" s="40">
        <v>45695740</v>
      </c>
      <c r="AF136" s="40">
        <v>42708334</v>
      </c>
      <c r="AG136" s="40">
        <v>38536566</v>
      </c>
      <c r="AH136" s="42">
        <v>41671723</v>
      </c>
      <c r="AI136" s="21"/>
    </row>
    <row r="137" spans="2:35" x14ac:dyDescent="0.2">
      <c r="B137" s="22"/>
      <c r="C137" s="23"/>
      <c r="D137" s="41" t="s">
        <v>34</v>
      </c>
      <c r="E137" s="40">
        <v>816952</v>
      </c>
      <c r="F137" s="40">
        <v>167239</v>
      </c>
      <c r="G137" s="40">
        <v>206190</v>
      </c>
      <c r="H137" s="40">
        <v>208028</v>
      </c>
      <c r="I137" s="40">
        <v>272144</v>
      </c>
      <c r="J137" s="40">
        <v>198333</v>
      </c>
      <c r="K137" s="20"/>
      <c r="L137" s="20"/>
      <c r="M137" s="40">
        <v>3125137</v>
      </c>
      <c r="N137" s="40">
        <v>1350884</v>
      </c>
      <c r="O137" s="40">
        <v>890133</v>
      </c>
      <c r="P137" s="40">
        <v>815872</v>
      </c>
      <c r="Q137" s="40">
        <v>777681</v>
      </c>
      <c r="R137" s="40">
        <v>771016</v>
      </c>
      <c r="S137" s="20"/>
      <c r="T137" s="20"/>
      <c r="U137" s="40">
        <v>23598092</v>
      </c>
      <c r="V137" s="40">
        <v>10674927</v>
      </c>
      <c r="W137" s="40">
        <v>6386803</v>
      </c>
      <c r="X137" s="40">
        <v>6253442</v>
      </c>
      <c r="Y137" s="40">
        <v>6264368</v>
      </c>
      <c r="Z137" s="40">
        <v>6227052</v>
      </c>
      <c r="AA137" s="20"/>
      <c r="AB137" s="20"/>
      <c r="AC137" s="40">
        <v>175946433</v>
      </c>
      <c r="AD137" s="40">
        <v>83197236</v>
      </c>
      <c r="AE137" s="40">
        <v>44198778</v>
      </c>
      <c r="AF137" s="40">
        <v>42555408</v>
      </c>
      <c r="AG137" s="40">
        <v>41039978</v>
      </c>
      <c r="AH137" s="42">
        <v>42946094</v>
      </c>
      <c r="AI137" s="21"/>
    </row>
    <row r="138" spans="2:35" x14ac:dyDescent="0.2">
      <c r="B138" s="22"/>
      <c r="C138" s="23"/>
      <c r="D138" s="41" t="s">
        <v>35</v>
      </c>
      <c r="E138" s="40">
        <v>796509</v>
      </c>
      <c r="F138" s="40">
        <v>167535</v>
      </c>
      <c r="G138" s="40">
        <v>203868</v>
      </c>
      <c r="H138" s="40">
        <v>198944</v>
      </c>
      <c r="I138" s="40">
        <v>251735</v>
      </c>
      <c r="J138" s="40">
        <v>203988</v>
      </c>
      <c r="K138" s="20"/>
      <c r="L138" s="20"/>
      <c r="M138" s="40">
        <v>3029651</v>
      </c>
      <c r="N138" s="40">
        <v>1359800</v>
      </c>
      <c r="O138" s="40">
        <v>781410</v>
      </c>
      <c r="P138" s="40">
        <v>815117</v>
      </c>
      <c r="Q138" s="40">
        <v>771824</v>
      </c>
      <c r="R138" s="40">
        <v>775060</v>
      </c>
      <c r="S138" s="20"/>
      <c r="T138" s="20"/>
      <c r="U138" s="40">
        <v>19896051</v>
      </c>
      <c r="V138" s="40">
        <v>10847321</v>
      </c>
      <c r="W138" s="40">
        <v>6486867</v>
      </c>
      <c r="X138" s="40">
        <v>6334039</v>
      </c>
      <c r="Y138" s="40">
        <v>6326749</v>
      </c>
      <c r="Z138" s="40">
        <v>6115410</v>
      </c>
      <c r="AA138" s="20"/>
      <c r="AB138" s="20"/>
      <c r="AC138" s="40">
        <v>163079396</v>
      </c>
      <c r="AD138" s="40">
        <v>85949044</v>
      </c>
      <c r="AE138" s="40">
        <v>43620865</v>
      </c>
      <c r="AF138" s="40">
        <v>43692938</v>
      </c>
      <c r="AG138" s="40">
        <v>40291411</v>
      </c>
      <c r="AH138" s="42">
        <v>42213950</v>
      </c>
      <c r="AI138" s="21"/>
    </row>
    <row r="139" spans="2:35" x14ac:dyDescent="0.2">
      <c r="B139" s="22"/>
      <c r="C139" s="23"/>
      <c r="D139" s="41" t="s">
        <v>36</v>
      </c>
      <c r="E139" s="40">
        <v>805887</v>
      </c>
      <c r="F139" s="40">
        <v>163301</v>
      </c>
      <c r="G139" s="40">
        <v>209141</v>
      </c>
      <c r="H139" s="40">
        <v>200463</v>
      </c>
      <c r="I139" s="40">
        <v>259408</v>
      </c>
      <c r="J139" s="40">
        <v>200816</v>
      </c>
      <c r="K139" s="20"/>
      <c r="L139" s="20"/>
      <c r="M139" s="40">
        <v>3136428</v>
      </c>
      <c r="N139" s="40">
        <v>1365727</v>
      </c>
      <c r="O139" s="40">
        <v>793258</v>
      </c>
      <c r="P139" s="40">
        <v>830090</v>
      </c>
      <c r="Q139" s="40">
        <v>800219</v>
      </c>
      <c r="R139" s="40">
        <v>788645</v>
      </c>
      <c r="S139" s="20"/>
      <c r="T139" s="20"/>
      <c r="U139" s="40">
        <v>26044023</v>
      </c>
      <c r="V139" s="40">
        <v>11014822</v>
      </c>
      <c r="W139" s="40">
        <v>6531888</v>
      </c>
      <c r="X139" s="40">
        <v>6131010</v>
      </c>
      <c r="Y139" s="40">
        <v>6444383</v>
      </c>
      <c r="Z139" s="40">
        <v>6322011</v>
      </c>
      <c r="AA139" s="20"/>
      <c r="AB139" s="20"/>
      <c r="AC139" s="40">
        <v>176357222</v>
      </c>
      <c r="AD139" s="40">
        <v>86484219</v>
      </c>
      <c r="AE139" s="40">
        <v>45186883</v>
      </c>
      <c r="AF139" s="40">
        <v>42760807</v>
      </c>
      <c r="AG139" s="40">
        <v>41313538</v>
      </c>
      <c r="AH139" s="42">
        <v>41384636</v>
      </c>
      <c r="AI139" s="21"/>
    </row>
    <row r="140" spans="2:35" x14ac:dyDescent="0.2">
      <c r="B140" s="22"/>
      <c r="C140" s="23"/>
      <c r="D140" s="41" t="s">
        <v>37</v>
      </c>
      <c r="E140" s="40">
        <v>784692</v>
      </c>
      <c r="F140" s="40">
        <v>167033</v>
      </c>
      <c r="G140" s="40">
        <v>208265</v>
      </c>
      <c r="H140" s="40">
        <v>208764</v>
      </c>
      <c r="I140" s="40">
        <v>254918</v>
      </c>
      <c r="J140" s="40">
        <v>202194</v>
      </c>
      <c r="K140" s="20"/>
      <c r="L140" s="20"/>
      <c r="M140" s="40">
        <v>3149269</v>
      </c>
      <c r="N140" s="40">
        <v>1373388</v>
      </c>
      <c r="O140" s="40">
        <v>775620</v>
      </c>
      <c r="P140" s="40">
        <v>773403</v>
      </c>
      <c r="Q140" s="40">
        <v>776150</v>
      </c>
      <c r="R140" s="40">
        <v>769018</v>
      </c>
      <c r="S140" s="20"/>
      <c r="T140" s="20"/>
      <c r="U140" s="40">
        <v>25994384</v>
      </c>
      <c r="V140" s="40">
        <v>11009785</v>
      </c>
      <c r="W140" s="40">
        <v>6441314</v>
      </c>
      <c r="X140" s="40">
        <v>5920038</v>
      </c>
      <c r="Y140" s="40">
        <v>6179916</v>
      </c>
      <c r="Z140" s="40">
        <v>6490575</v>
      </c>
      <c r="AA140" s="20"/>
      <c r="AB140" s="20"/>
      <c r="AC140" s="40">
        <v>173143058</v>
      </c>
      <c r="AD140" s="40">
        <v>86053113</v>
      </c>
      <c r="AE140" s="40">
        <v>45343670</v>
      </c>
      <c r="AF140" s="40">
        <v>42160923</v>
      </c>
      <c r="AG140" s="40">
        <v>42862286</v>
      </c>
      <c r="AH140" s="42">
        <v>41943801</v>
      </c>
      <c r="AI140" s="21"/>
    </row>
    <row r="141" spans="2:35" x14ac:dyDescent="0.2">
      <c r="B141" s="22"/>
      <c r="C141" s="23"/>
      <c r="D141" s="41" t="s">
        <v>38</v>
      </c>
      <c r="E141" s="40">
        <v>792928</v>
      </c>
      <c r="F141" s="40">
        <v>164851</v>
      </c>
      <c r="G141" s="40">
        <v>216381</v>
      </c>
      <c r="H141" s="40">
        <v>228602</v>
      </c>
      <c r="I141" s="40">
        <v>283660</v>
      </c>
      <c r="J141" s="40">
        <v>203403</v>
      </c>
      <c r="K141" s="20"/>
      <c r="L141" s="20"/>
      <c r="M141" s="40">
        <v>3113761</v>
      </c>
      <c r="N141" s="40">
        <v>1347120</v>
      </c>
      <c r="O141" s="40">
        <v>761316</v>
      </c>
      <c r="P141" s="40">
        <v>779258</v>
      </c>
      <c r="Q141" s="40">
        <v>760627</v>
      </c>
      <c r="R141" s="40">
        <v>767526</v>
      </c>
      <c r="S141" s="20"/>
      <c r="T141" s="20"/>
      <c r="U141" s="40">
        <v>25661540</v>
      </c>
      <c r="V141" s="40">
        <v>10827377</v>
      </c>
      <c r="W141" s="40">
        <v>6488347</v>
      </c>
      <c r="X141" s="40">
        <v>6322759</v>
      </c>
      <c r="Y141" s="40">
        <v>6352239</v>
      </c>
      <c r="Z141" s="40">
        <v>6355463</v>
      </c>
      <c r="AA141" s="20"/>
      <c r="AB141" s="20"/>
      <c r="AC141" s="40">
        <v>178146788</v>
      </c>
      <c r="AD141" s="40">
        <v>83227925</v>
      </c>
      <c r="AE141" s="40">
        <v>43150867</v>
      </c>
      <c r="AF141" s="40">
        <v>41580820</v>
      </c>
      <c r="AG141" s="40">
        <v>41605058</v>
      </c>
      <c r="AH141" s="42">
        <v>43426359</v>
      </c>
      <c r="AI141" s="21"/>
    </row>
    <row r="142" spans="2:35" x14ac:dyDescent="0.2">
      <c r="B142" s="22"/>
      <c r="C142" s="23"/>
      <c r="D142" s="41" t="s">
        <v>39</v>
      </c>
      <c r="E142" s="40">
        <v>801793</v>
      </c>
      <c r="F142" s="40">
        <v>163028</v>
      </c>
      <c r="G142" s="40">
        <v>227049</v>
      </c>
      <c r="H142" s="40">
        <v>199555</v>
      </c>
      <c r="I142" s="40">
        <v>207282</v>
      </c>
      <c r="J142" s="40">
        <v>204792</v>
      </c>
      <c r="K142" s="20"/>
      <c r="L142" s="20"/>
      <c r="M142" s="40">
        <v>3124211</v>
      </c>
      <c r="N142" s="40">
        <v>1356914</v>
      </c>
      <c r="O142" s="40">
        <v>769911</v>
      </c>
      <c r="P142" s="40">
        <v>806292</v>
      </c>
      <c r="Q142" s="40">
        <v>793386</v>
      </c>
      <c r="R142" s="40">
        <v>775846</v>
      </c>
      <c r="S142" s="20"/>
      <c r="T142" s="20"/>
      <c r="U142" s="40">
        <v>19538065</v>
      </c>
      <c r="V142" s="40">
        <v>10727076</v>
      </c>
      <c r="W142" s="40">
        <v>6570868</v>
      </c>
      <c r="X142" s="40">
        <v>6340096</v>
      </c>
      <c r="Y142" s="40">
        <v>6138608</v>
      </c>
      <c r="Z142" s="40">
        <v>6172738</v>
      </c>
      <c r="AA142" s="20"/>
      <c r="AB142" s="20"/>
      <c r="AC142" s="40">
        <v>176957532</v>
      </c>
      <c r="AD142" s="40">
        <v>83779538</v>
      </c>
      <c r="AE142" s="40">
        <v>44378670</v>
      </c>
      <c r="AF142" s="40">
        <v>43090044</v>
      </c>
      <c r="AG142" s="40">
        <v>43166938</v>
      </c>
      <c r="AH142" s="42">
        <v>41753848</v>
      </c>
      <c r="AI142" s="21"/>
    </row>
    <row r="143" spans="2:35" ht="16.5" customHeight="1" thickBot="1" x14ac:dyDescent="0.25">
      <c r="B143" s="22"/>
      <c r="C143" s="24"/>
      <c r="D143" s="36" t="s">
        <v>44</v>
      </c>
      <c r="E143" s="25" cm="1">
        <f t="array" ref="E143">ROUND(AVERAGE(IF((ISNUMBER(E113:E142))*(E113:E142&lt;LARGE(E113:E142,2))*(E113:E142&gt;SMALL(E113:E142,2)),E113:E142)),0)</f>
        <v>791107</v>
      </c>
      <c r="F143" s="25" cm="1">
        <f t="array" ref="F143">ROUND(AVERAGE(IF((ISNUMBER(F113:F142))*(F113:F142&lt;LARGE(F113:F142,2))*(F113:F142&gt;SMALL(F113:F142,2)),F113:F142)),0)</f>
        <v>167004</v>
      </c>
      <c r="G143" s="25" cm="1">
        <f t="array" ref="G143">ROUND(AVERAGE(IF((ISNUMBER(G113:G142))*(G113:G142&lt;LARGE(G113:G142,2))*(G113:G142&gt;SMALL(G113:G142,2)),G113:G142)),0)</f>
        <v>206470</v>
      </c>
      <c r="H143" s="25" cm="1">
        <f t="array" ref="H143">ROUND(AVERAGE(IF((ISNUMBER(H113:H142))*(H113:H142&lt;LARGE(H113:H142,2))*(H113:H142&gt;SMALL(H113:H142,2)),H113:H142)),0)</f>
        <v>205866</v>
      </c>
      <c r="I143" s="25" cm="1">
        <f t="array" ref="I143">ROUND(AVERAGE(IF((ISNUMBER(I113:I142))*(I113:I142&lt;LARGE(I113:I142,2))*(I113:I142&gt;SMALL(I113:I142,2)),I113:I142)),0)</f>
        <v>260473</v>
      </c>
      <c r="J143" s="25" cm="1">
        <f t="array" ref="J143">ROUND(AVERAGE(IF((ISNUMBER(J113:J142))*(J113:J142&lt;LARGE(J113:J142,2))*(J113:J142&gt;SMALL(J113:J142,2)),J113:J142)),0)</f>
        <v>203569</v>
      </c>
      <c r="K143" s="25"/>
      <c r="L143" s="25"/>
      <c r="M143" s="25" cm="1">
        <f t="array" ref="M143">ROUND(AVERAGE(IF((ISNUMBER(M113:M142))*(M113:M142&lt;LARGE(M113:M142,2))*(M113:M142&gt;SMALL(M113:M142,2)),M113:M142)),0)</f>
        <v>3112921</v>
      </c>
      <c r="N143" s="25" cm="1">
        <f t="array" ref="N143">ROUND(AVERAGE(IF((ISNUMBER(N113:N142))*(N113:N142&lt;LARGE(N113:N142,2))*(N113:N142&gt;SMALL(N113:N142,2)),N113:N142)),0)</f>
        <v>1357761</v>
      </c>
      <c r="O143" s="25" cm="1">
        <f t="array" ref="O143">ROUND(AVERAGE(IF((ISNUMBER(O113:O142))*(O113:O142&lt;LARGE(O113:O142,2))*(O113:O142&gt;SMALL(O113:O142,2)),O113:O142)),0)</f>
        <v>779901</v>
      </c>
      <c r="P143" s="25" cm="1">
        <f t="array" ref="P143">ROUND(AVERAGE(IF((ISNUMBER(P113:P142))*(P113:P142&lt;LARGE(P113:P142,2))*(P113:P142&gt;SMALL(P113:P142,2)),P113:P142)),0)</f>
        <v>789257</v>
      </c>
      <c r="Q143" s="25" cm="1">
        <f t="array" ref="Q143">ROUND(AVERAGE(IF((ISNUMBER(Q113:Q142))*(Q113:Q142&lt;LARGE(Q113:Q142,2))*(Q113:Q142&gt;SMALL(Q113:Q142,2)),Q113:Q142)),0)</f>
        <v>785743</v>
      </c>
      <c r="R143" s="25" cm="1">
        <f t="array" ref="R143">ROUND(AVERAGE(IF((ISNUMBER(R113:R142))*(R113:R142&lt;LARGE(R113:R142,2))*(R113:R142&gt;SMALL(R113:R142,2)),R113:R142)),0)</f>
        <v>776712</v>
      </c>
      <c r="S143" s="25"/>
      <c r="T143" s="25"/>
      <c r="U143" s="25" cm="1">
        <f t="array" ref="U143">ROUND(AVERAGE(IF((ISNUMBER(U113:U142))*(U113:U142&lt;LARGE(U113:U142,2))*(U113:U142&gt;SMALL(U113:U142,2)),U113:U142)),0)</f>
        <v>25627530</v>
      </c>
      <c r="V143" s="25" cm="1">
        <f t="array" ref="V143">ROUND(AVERAGE(IF((ISNUMBER(V113:V142))*(V113:V142&lt;LARGE(V113:V142,2))*(V113:V142&gt;SMALL(V113:V142,2)),V113:V142)),0)</f>
        <v>10972794</v>
      </c>
      <c r="W143" s="25" cm="1">
        <f t="array" ref="W143">ROUND(AVERAGE(IF((ISNUMBER(W113:W142))*(W113:W142&lt;LARGE(W113:W142,2))*(W113:W142&gt;SMALL(W113:W142,2)),W113:W142)),0)</f>
        <v>6500271</v>
      </c>
      <c r="X143" s="25" cm="1">
        <f t="array" ref="X143">ROUND(AVERAGE(IF((ISNUMBER(X113:X142))*(X113:X142&lt;LARGE(X113:X142,2))*(X113:X142&gt;SMALL(X113:X142,2)),X113:X142)),0)</f>
        <v>6200266</v>
      </c>
      <c r="Y143" s="25" cm="1">
        <f t="array" ref="Y143">ROUND(AVERAGE(IF((ISNUMBER(Y113:Y142))*(Y113:Y142&lt;LARGE(Y113:Y142,2))*(Y113:Y142&gt;SMALL(Y113:Y142,2)),Y113:Y142)),0)</f>
        <v>6296592</v>
      </c>
      <c r="Z143" s="25" cm="1">
        <f t="array" ref="Z143">ROUND(AVERAGE(IF((ISNUMBER(Z113:Z142))*(Z113:Z142&lt;LARGE(Z113:Z142,2))*(Z113:Z142&gt;SMALL(Z113:Z142,2)),Z113:Z142)),0)</f>
        <v>6248905</v>
      </c>
      <c r="AA143" s="25"/>
      <c r="AB143" s="25"/>
      <c r="AC143" s="25" cm="1">
        <f t="array" ref="AC143">ROUND(AVERAGE(IF((ISNUMBER(AC113:AC142))*(AC113:AC142&lt;LARGE(AC113:AC142,2))*(AC113:AC142&gt;SMALL(AC113:AC142,2)),AC113:AC142)),0)</f>
        <v>175278974</v>
      </c>
      <c r="AD143" s="25" cm="1">
        <f t="array" ref="AD143">ROUND(AVERAGE(IF((ISNUMBER(AD113:AD142))*(AD113:AD142&lt;LARGE(AD113:AD142,2))*(AD113:AD142&gt;SMALL(AD113:AD142,2)),AD113:AD142)),0)</f>
        <v>82907595</v>
      </c>
      <c r="AE143" s="25" cm="1">
        <f t="array" ref="AE143">ROUND(AVERAGE(IF((ISNUMBER(AE113:AE142))*(AE113:AE142&lt;LARGE(AE113:AE142,2))*(AE113:AE142&gt;SMALL(AE113:AE142,2)),AE113:AE142)),0)</f>
        <v>44461919</v>
      </c>
      <c r="AF143" s="25" cm="1">
        <f t="array" ref="AF143">ROUND(AVERAGE(IF((ISNUMBER(AF113:AF142))*(AF113:AF142&lt;LARGE(AF113:AF142,2))*(AF113:AF142&gt;SMALL(AF113:AF142,2)),AF113:AF142)),0)</f>
        <v>42669400</v>
      </c>
      <c r="AG143" s="25" cm="1">
        <f t="array" ref="AG143">ROUND(AVERAGE(IF((ISNUMBER(AG113:AG142))*(AG113:AG142&lt;LARGE(AG113:AG142,2))*(AG113:AG142&gt;SMALL(AG113:AG142,2)),AG113:AG142)),0)</f>
        <v>43366671</v>
      </c>
      <c r="AH143" s="25" cm="1">
        <f t="array" ref="AH143">ROUND(AVERAGE(IF((ISNUMBER(AH113:AH142))*(AH113:AH142&lt;LARGE(AH113:AH142,2))*(AH113:AH142&gt;SMALL(AH113:AH142,2)),AH113:AH142)),0)</f>
        <v>41945210</v>
      </c>
      <c r="AI143" s="21"/>
    </row>
    <row r="144" spans="2:35" ht="16.5" customHeight="1" thickBot="1" x14ac:dyDescent="0.25">
      <c r="B144" s="26"/>
      <c r="C144" s="27"/>
      <c r="D144" s="3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8"/>
    </row>
    <row r="145" spans="4:4" x14ac:dyDescent="0.2">
      <c r="D145" s="1"/>
    </row>
    <row r="146" spans="4:4" x14ac:dyDescent="0.2">
      <c r="D146" s="1"/>
    </row>
  </sheetData>
  <mergeCells count="12">
    <mergeCell ref="K4:L4"/>
    <mergeCell ref="S4:T4"/>
    <mergeCell ref="AA4:AB4"/>
    <mergeCell ref="K40:L40"/>
    <mergeCell ref="S40:T40"/>
    <mergeCell ref="AA40:AB40"/>
    <mergeCell ref="AA76:AB76"/>
    <mergeCell ref="S76:T76"/>
    <mergeCell ref="K76:L76"/>
    <mergeCell ref="K112:L112"/>
    <mergeCell ref="S112:T112"/>
    <mergeCell ref="AA112:AB1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4C3-8059-4775-A519-544C60E17FF9}">
  <dimension ref="B5:AK274"/>
  <sheetViews>
    <sheetView topLeftCell="A64" zoomScale="43" zoomScaleNormal="55" workbookViewId="0">
      <selection activeCell="AS118" sqref="AS118"/>
    </sheetView>
  </sheetViews>
  <sheetFormatPr baseColWidth="10" defaultRowHeight="15" x14ac:dyDescent="0.2"/>
  <cols>
    <col min="3" max="3" width="27.1640625" customWidth="1"/>
    <col min="4" max="4" width="10.83203125" customWidth="1"/>
    <col min="11" max="11" width="10.83203125" customWidth="1"/>
  </cols>
  <sheetData>
    <row r="5" spans="2:37" ht="16" thickBot="1" x14ac:dyDescent="0.25"/>
    <row r="6" spans="2:37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37" ht="37" x14ac:dyDescent="0.45">
      <c r="B7" s="5"/>
      <c r="C7" s="6" t="s">
        <v>40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</row>
    <row r="8" spans="2:37" x14ac:dyDescent="0.2">
      <c r="B8" s="5"/>
      <c r="C8" s="9" t="s">
        <v>45</v>
      </c>
      <c r="D8" s="9" t="s">
        <v>1</v>
      </c>
      <c r="E8" s="9" t="s">
        <v>2</v>
      </c>
      <c r="F8" s="9" t="s">
        <v>3</v>
      </c>
      <c r="G8" s="9" t="s">
        <v>4</v>
      </c>
      <c r="H8" s="9" t="s">
        <v>5</v>
      </c>
      <c r="I8" s="9" t="s">
        <v>6</v>
      </c>
      <c r="J8" s="7"/>
      <c r="K8" s="46" t="s">
        <v>45</v>
      </c>
      <c r="L8" s="46"/>
      <c r="M8" s="9" t="s">
        <v>1</v>
      </c>
      <c r="N8" s="9" t="s">
        <v>2</v>
      </c>
      <c r="O8" s="9" t="s">
        <v>3</v>
      </c>
      <c r="P8" s="9" t="s">
        <v>4</v>
      </c>
      <c r="Q8" s="9" t="s">
        <v>5</v>
      </c>
      <c r="R8" s="9" t="s">
        <v>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</row>
    <row r="9" spans="2:37" x14ac:dyDescent="0.2">
      <c r="B9" s="5"/>
      <c r="C9" s="7" t="s">
        <v>50</v>
      </c>
      <c r="D9" s="7">
        <v>1</v>
      </c>
      <c r="E9" s="7">
        <f>$D10/E10</f>
        <v>5.7587074821262441</v>
      </c>
      <c r="F9" s="7">
        <f t="shared" ref="F9:I9" si="0">$D10/F10</f>
        <v>4.4034396454134539</v>
      </c>
      <c r="G9" s="7">
        <f t="shared" si="0"/>
        <v>4.4519210243711802</v>
      </c>
      <c r="H9" s="7">
        <f t="shared" si="0"/>
        <v>3.6302580081061864</v>
      </c>
      <c r="I9" s="7">
        <f t="shared" si="0"/>
        <v>4.4113351589079741</v>
      </c>
      <c r="J9" s="7"/>
      <c r="K9" s="47" t="s">
        <v>54</v>
      </c>
      <c r="L9" s="47"/>
      <c r="M9" s="7">
        <f t="shared" ref="M9:R9" si="1">(D9+D12+D15+D18)/4</f>
        <v>1</v>
      </c>
      <c r="N9" s="7">
        <f t="shared" si="1"/>
        <v>3.6629423899313553</v>
      </c>
      <c r="O9" s="7">
        <f t="shared" si="1"/>
        <v>4.2900893574534802</v>
      </c>
      <c r="P9" s="7">
        <f t="shared" si="1"/>
        <v>4.6417639050417119</v>
      </c>
      <c r="Q9" s="7">
        <f t="shared" si="1"/>
        <v>4.4465330413374513</v>
      </c>
      <c r="R9" s="7">
        <f t="shared" si="1"/>
        <v>4.6303164274752806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</row>
    <row r="10" spans="2:37" x14ac:dyDescent="0.2">
      <c r="B10" s="5"/>
      <c r="C10" s="7" t="s">
        <v>46</v>
      </c>
      <c r="D10" s="7">
        <f>'Información completa'!E35</f>
        <v>2711211</v>
      </c>
      <c r="E10" s="7">
        <f>'Información completa'!F35</f>
        <v>470802</v>
      </c>
      <c r="F10" s="7">
        <f>'Información completa'!G35</f>
        <v>615703</v>
      </c>
      <c r="G10" s="7">
        <f>'Información completa'!H35</f>
        <v>608998</v>
      </c>
      <c r="H10" s="7">
        <f>'Información completa'!I35</f>
        <v>746837</v>
      </c>
      <c r="I10" s="7">
        <f>'Información completa'!J35</f>
        <v>614601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2:37" x14ac:dyDescent="0.2">
      <c r="B11" s="5"/>
      <c r="C11" s="9" t="s">
        <v>45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2:37" x14ac:dyDescent="0.2">
      <c r="B12" s="5"/>
      <c r="C12" s="7" t="s">
        <v>51</v>
      </c>
      <c r="D12" s="7">
        <v>1</v>
      </c>
      <c r="E12" s="7">
        <f>$D13/E13</f>
        <v>3.8932214281469153</v>
      </c>
      <c r="F12" s="7">
        <f t="shared" ref="F12:I12" si="2">$D13/F13</f>
        <v>3.7733445016929545</v>
      </c>
      <c r="G12" s="7">
        <f t="shared" si="2"/>
        <v>5.2784087650260689</v>
      </c>
      <c r="H12" s="7">
        <f t="shared" si="2"/>
        <v>5.5272280092168735</v>
      </c>
      <c r="I12" s="7">
        <f t="shared" si="2"/>
        <v>5.6950114467040009</v>
      </c>
      <c r="J12" s="7"/>
      <c r="K12" s="7"/>
      <c r="L12" s="7"/>
      <c r="M12" s="7"/>
      <c r="N12" s="7"/>
      <c r="O12" s="4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2:37" x14ac:dyDescent="0.2">
      <c r="B13" s="5"/>
      <c r="C13" s="7" t="s">
        <v>47</v>
      </c>
      <c r="D13" s="7">
        <f>'Información completa'!M35</f>
        <v>18866115</v>
      </c>
      <c r="E13" s="7">
        <f>'Información completa'!N35</f>
        <v>4845888</v>
      </c>
      <c r="F13" s="7">
        <f>'Información completa'!O35</f>
        <v>4999839</v>
      </c>
      <c r="G13" s="7">
        <f>'Información completa'!P35</f>
        <v>3574205</v>
      </c>
      <c r="H13" s="7">
        <f>'Información completa'!Q35</f>
        <v>3413305</v>
      </c>
      <c r="I13" s="7">
        <f>'Información completa'!R35</f>
        <v>3312744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2:37" x14ac:dyDescent="0.2">
      <c r="B14" s="5"/>
      <c r="C14" s="9" t="s">
        <v>45</v>
      </c>
      <c r="D14" s="9" t="s">
        <v>1</v>
      </c>
      <c r="E14" s="9" t="s">
        <v>2</v>
      </c>
      <c r="F14" s="9" t="s">
        <v>3</v>
      </c>
      <c r="G14" s="9" t="s">
        <v>4</v>
      </c>
      <c r="H14" s="9" t="s">
        <v>5</v>
      </c>
      <c r="I14" s="9" t="s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2:37" x14ac:dyDescent="0.2">
      <c r="B15" s="5"/>
      <c r="C15" s="7" t="s">
        <v>52</v>
      </c>
      <c r="D15" s="7">
        <v>1</v>
      </c>
      <c r="E15" s="7">
        <f>$D16/E16</f>
        <v>2.739536482827166</v>
      </c>
      <c r="F15" s="7">
        <f t="shared" ref="F15" si="3">$D16/F16</f>
        <v>4.621376991548388</v>
      </c>
      <c r="G15" s="7">
        <f t="shared" ref="G15" si="4">$D16/G16</f>
        <v>4.5488767436236959</v>
      </c>
      <c r="H15" s="7">
        <f t="shared" ref="H15" si="5">$D16/H16</f>
        <v>4.6643604459302175</v>
      </c>
      <c r="I15" s="7">
        <f t="shared" ref="I15" si="6">$D16/I16</f>
        <v>4.3698025626664032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2:37" x14ac:dyDescent="0.2">
      <c r="B16" s="5"/>
      <c r="C16" s="7" t="s">
        <v>48</v>
      </c>
      <c r="D16" s="7">
        <f>'Información completa'!U35</f>
        <v>142686914</v>
      </c>
      <c r="E16" s="7">
        <f>'Información completa'!V35</f>
        <v>52084327</v>
      </c>
      <c r="F16" s="7">
        <f>'Información completa'!W35</f>
        <v>30875411</v>
      </c>
      <c r="G16" s="7">
        <f>'Información completa'!X35</f>
        <v>31367505</v>
      </c>
      <c r="H16" s="7">
        <f>'Información completa'!Y35</f>
        <v>30590885</v>
      </c>
      <c r="I16" s="7">
        <f>'Información completa'!Z35</f>
        <v>32652943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 x14ac:dyDescent="0.2">
      <c r="B17" s="5"/>
      <c r="C17" s="9" t="s">
        <v>45</v>
      </c>
      <c r="D17" s="9" t="s">
        <v>1</v>
      </c>
      <c r="E17" s="9" t="s">
        <v>2</v>
      </c>
      <c r="F17" s="9" t="s">
        <v>3</v>
      </c>
      <c r="G17" s="9" t="s">
        <v>4</v>
      </c>
      <c r="H17" s="9" t="s">
        <v>5</v>
      </c>
      <c r="I17" s="9" t="s">
        <v>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 x14ac:dyDescent="0.2">
      <c r="B18" s="5"/>
      <c r="C18" s="7" t="s">
        <v>53</v>
      </c>
      <c r="D18" s="7">
        <v>1</v>
      </c>
      <c r="E18" s="7">
        <f>$D19/E19</f>
        <v>2.2603041666250956</v>
      </c>
      <c r="F18" s="7">
        <f t="shared" ref="F18" si="7">$D19/F19</f>
        <v>4.3621962911591243</v>
      </c>
      <c r="G18" s="7">
        <f t="shared" ref="G18" si="8">$D19/G19</f>
        <v>4.2878490871459016</v>
      </c>
      <c r="H18" s="7">
        <f t="shared" ref="H18" si="9">$D19/H19</f>
        <v>3.9642857020965305</v>
      </c>
      <c r="I18" s="7">
        <f t="shared" ref="I18" si="10">$D19/I19</f>
        <v>4.0451165416227424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 x14ac:dyDescent="0.2">
      <c r="B19" s="5"/>
      <c r="C19" s="7" t="s">
        <v>49</v>
      </c>
      <c r="D19" s="7">
        <f>'Información completa'!AC35</f>
        <v>1417072687</v>
      </c>
      <c r="E19" s="7">
        <f>'Información completa'!AD35</f>
        <v>626938935</v>
      </c>
      <c r="F19" s="7">
        <f>'Información completa'!AE35</f>
        <v>324853031</v>
      </c>
      <c r="G19" s="7">
        <f>'Información completa'!AF35</f>
        <v>330485672</v>
      </c>
      <c r="H19" s="7">
        <f>'Información completa'!AG35</f>
        <v>357459778</v>
      </c>
      <c r="I19" s="7">
        <f>'Información completa'!AH35</f>
        <v>350316900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 x14ac:dyDescent="0.2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 x14ac:dyDescent="0.2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 x14ac:dyDescent="0.2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 x14ac:dyDescent="0.2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 x14ac:dyDescent="0.2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 x14ac:dyDescent="0.2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 x14ac:dyDescent="0.2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 x14ac:dyDescent="0.2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 x14ac:dyDescent="0.2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 x14ac:dyDescent="0.2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 x14ac:dyDescent="0.2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 x14ac:dyDescent="0.2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 x14ac:dyDescent="0.2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 x14ac:dyDescent="0.2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 x14ac:dyDescent="0.2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 x14ac:dyDescent="0.2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 x14ac:dyDescent="0.2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 x14ac:dyDescent="0.2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 x14ac:dyDescent="0.2"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 x14ac:dyDescent="0.2"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 x14ac:dyDescent="0.2"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 x14ac:dyDescent="0.2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 x14ac:dyDescent="0.2"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 x14ac:dyDescent="0.2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 x14ac:dyDescent="0.2"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 x14ac:dyDescent="0.2"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 x14ac:dyDescent="0.2"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 x14ac:dyDescent="0.2"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 x14ac:dyDescent="0.2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 x14ac:dyDescent="0.2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 x14ac:dyDescent="0.2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 x14ac:dyDescent="0.2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 x14ac:dyDescent="0.2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 x14ac:dyDescent="0.2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 x14ac:dyDescent="0.2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 x14ac:dyDescent="0.2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 x14ac:dyDescent="0.2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 x14ac:dyDescent="0.2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 x14ac:dyDescent="0.2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 x14ac:dyDescent="0.2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</row>
    <row r="60" spans="2:37" x14ac:dyDescent="0.2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</row>
    <row r="61" spans="2:37" x14ac:dyDescent="0.2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</row>
    <row r="62" spans="2:37" x14ac:dyDescent="0.2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</row>
    <row r="63" spans="2:37" x14ac:dyDescent="0.2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</row>
    <row r="64" spans="2:37" x14ac:dyDescent="0.2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</row>
    <row r="65" spans="2:37" x14ac:dyDescent="0.2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</row>
    <row r="66" spans="2:37" x14ac:dyDescent="0.2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</row>
    <row r="67" spans="2:37" x14ac:dyDescent="0.2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</row>
    <row r="68" spans="2:37" x14ac:dyDescent="0.2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</row>
    <row r="69" spans="2:37" x14ac:dyDescent="0.2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</row>
    <row r="70" spans="2:37" ht="28.5" customHeight="1" thickBot="1" x14ac:dyDescent="0.25"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2"/>
    </row>
    <row r="73" spans="2:37" ht="16" thickBot="1" x14ac:dyDescent="0.25"/>
    <row r="74" spans="2:37" x14ac:dyDescent="0.2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2:37" ht="37" x14ac:dyDescent="0.45">
      <c r="B75" s="5"/>
      <c r="C75" s="6" t="s">
        <v>41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</row>
    <row r="76" spans="2:37" x14ac:dyDescent="0.2">
      <c r="B76" s="5"/>
      <c r="C76" s="9" t="s">
        <v>45</v>
      </c>
      <c r="D76" s="9" t="s">
        <v>1</v>
      </c>
      <c r="E76" s="9" t="s">
        <v>2</v>
      </c>
      <c r="F76" s="9" t="s">
        <v>3</v>
      </c>
      <c r="G76" s="9" t="s">
        <v>4</v>
      </c>
      <c r="H76" s="9" t="s">
        <v>5</v>
      </c>
      <c r="I76" s="9" t="s">
        <v>6</v>
      </c>
      <c r="J76" s="7"/>
      <c r="K76" s="46" t="s">
        <v>45</v>
      </c>
      <c r="L76" s="46"/>
      <c r="M76" s="9" t="s">
        <v>1</v>
      </c>
      <c r="N76" s="9" t="s">
        <v>2</v>
      </c>
      <c r="O76" s="9" t="s">
        <v>3</v>
      </c>
      <c r="P76" s="9" t="s">
        <v>4</v>
      </c>
      <c r="Q76" s="9" t="s">
        <v>5</v>
      </c>
      <c r="R76" s="9" t="s">
        <v>6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</row>
    <row r="77" spans="2:37" x14ac:dyDescent="0.2">
      <c r="B77" s="5"/>
      <c r="C77" s="7" t="s">
        <v>50</v>
      </c>
      <c r="D77" s="7">
        <v>1</v>
      </c>
      <c r="E77" s="7">
        <f>$D78/E78</f>
        <v>5.4739293256884292</v>
      </c>
      <c r="F77" s="7">
        <f t="shared" ref="F77" si="11">$D78/F78</f>
        <v>4.3995769267430695</v>
      </c>
      <c r="G77" s="7">
        <f t="shared" ref="G77" si="12">$D78/G78</f>
        <v>4.4395180384148691</v>
      </c>
      <c r="H77" s="7">
        <f t="shared" ref="H77" si="13">$D78/H78</f>
        <v>3.7738884049448251</v>
      </c>
      <c r="I77" s="7">
        <f t="shared" ref="I77" si="14">$D78/I78</f>
        <v>4.5412420484604006</v>
      </c>
      <c r="J77" s="7"/>
      <c r="K77" s="47" t="s">
        <v>54</v>
      </c>
      <c r="L77" s="47"/>
      <c r="M77" s="7">
        <f t="shared" ref="M77:R77" si="15">(D77+D80+D83+D86)/4</f>
        <v>1</v>
      </c>
      <c r="N77" s="7">
        <f t="shared" si="15"/>
        <v>3.2517232239258664</v>
      </c>
      <c r="O77" s="7">
        <f t="shared" si="15"/>
        <v>4.2329100650415104</v>
      </c>
      <c r="P77" s="7">
        <f t="shared" si="15"/>
        <v>4.5772798960513343</v>
      </c>
      <c r="Q77" s="7">
        <f t="shared" si="15"/>
        <v>4.3682041685750921</v>
      </c>
      <c r="R77" s="7">
        <f t="shared" si="15"/>
        <v>4.6000897189141483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</row>
    <row r="78" spans="2:37" x14ac:dyDescent="0.2">
      <c r="B78" s="5"/>
      <c r="C78" s="7" t="s">
        <v>46</v>
      </c>
      <c r="D78" s="7">
        <f>'Información completa'!E71</f>
        <v>1200055</v>
      </c>
      <c r="E78" s="7">
        <f>'Información completa'!F71</f>
        <v>219231</v>
      </c>
      <c r="F78" s="7">
        <f>'Información completa'!G71</f>
        <v>272766</v>
      </c>
      <c r="G78" s="7">
        <f>'Información completa'!H71</f>
        <v>270312</v>
      </c>
      <c r="H78" s="7">
        <f>'Información completa'!I71</f>
        <v>317989</v>
      </c>
      <c r="I78" s="7">
        <f>'Información completa'!J71</f>
        <v>264257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</row>
    <row r="79" spans="2:37" x14ac:dyDescent="0.2">
      <c r="B79" s="5"/>
      <c r="C79" s="9" t="s">
        <v>45</v>
      </c>
      <c r="D79" s="9" t="s">
        <v>1</v>
      </c>
      <c r="E79" s="9" t="s">
        <v>2</v>
      </c>
      <c r="F79" s="9" t="s">
        <v>3</v>
      </c>
      <c r="G79" s="9" t="s">
        <v>4</v>
      </c>
      <c r="H79" s="9" t="s">
        <v>5</v>
      </c>
      <c r="I79" s="9" t="s">
        <v>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</row>
    <row r="80" spans="2:37" x14ac:dyDescent="0.2">
      <c r="B80" s="5"/>
      <c r="C80" s="7" t="s">
        <v>51</v>
      </c>
      <c r="D80" s="7">
        <v>1</v>
      </c>
      <c r="E80" s="7">
        <f>$D81/E81</f>
        <v>2.9586960089343943</v>
      </c>
      <c r="F80" s="7">
        <f t="shared" ref="F80" si="16">$D81/F81</f>
        <v>4.2084888915162626</v>
      </c>
      <c r="G80" s="7">
        <f t="shared" ref="G80" si="17">$D81/G81</f>
        <v>5.4030572380743873</v>
      </c>
      <c r="H80" s="7">
        <f t="shared" ref="H80" si="18">$D81/H81</f>
        <v>5.4213301101965223</v>
      </c>
      <c r="I80" s="7">
        <f>$D81/I81</f>
        <v>5.4954243204272153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</row>
    <row r="81" spans="2:37" x14ac:dyDescent="0.2">
      <c r="B81" s="5"/>
      <c r="C81" s="7" t="s">
        <v>47</v>
      </c>
      <c r="D81" s="7">
        <f>'Información completa'!M71</f>
        <v>5552857</v>
      </c>
      <c r="E81" s="7">
        <f>'Información completa'!N71</f>
        <v>1876792</v>
      </c>
      <c r="F81" s="7">
        <f>'Información completa'!O71</f>
        <v>1319442</v>
      </c>
      <c r="G81" s="7">
        <f>'Información completa'!P71</f>
        <v>1027725</v>
      </c>
      <c r="H81" s="7">
        <f>'Información completa'!Q71</f>
        <v>1024261</v>
      </c>
      <c r="I81" s="7">
        <f>'Información completa'!R71</f>
        <v>1010451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</row>
    <row r="82" spans="2:37" x14ac:dyDescent="0.2">
      <c r="B82" s="5"/>
      <c r="C82" s="9" t="s">
        <v>45</v>
      </c>
      <c r="D82" s="9" t="s">
        <v>1</v>
      </c>
      <c r="E82" s="9" t="s">
        <v>2</v>
      </c>
      <c r="F82" s="9" t="s">
        <v>3</v>
      </c>
      <c r="G82" s="9" t="s">
        <v>4</v>
      </c>
      <c r="H82" s="9" t="s">
        <v>5</v>
      </c>
      <c r="I82" s="9" t="s">
        <v>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</row>
    <row r="83" spans="2:37" x14ac:dyDescent="0.2">
      <c r="B83" s="5"/>
      <c r="C83" s="7" t="s">
        <v>52</v>
      </c>
      <c r="D83" s="7">
        <v>1</v>
      </c>
      <c r="E83" s="7">
        <f>$D84/E84</f>
        <v>2.3476587098082309</v>
      </c>
      <c r="F83" s="7">
        <f t="shared" ref="F83" si="19">$D84/F84</f>
        <v>4.046855800689598</v>
      </c>
      <c r="G83" s="7">
        <f t="shared" ref="G83" si="20">$D84/G84</f>
        <v>4.2019790103589889</v>
      </c>
      <c r="H83" s="7">
        <f t="shared" ref="H83" si="21">$D84/H84</f>
        <v>4.1757209635960226</v>
      </c>
      <c r="I83" s="7">
        <f>$D84/I84</f>
        <v>4.1595015758782363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</row>
    <row r="84" spans="2:37" x14ac:dyDescent="0.2">
      <c r="B84" s="5"/>
      <c r="C84" s="7" t="s">
        <v>48</v>
      </c>
      <c r="D84" s="7">
        <f>'Información completa'!U71</f>
        <v>109510771</v>
      </c>
      <c r="E84" s="7">
        <f>'Información completa'!V71</f>
        <v>46646802</v>
      </c>
      <c r="F84" s="7">
        <f>'Información completa'!W71</f>
        <v>27060705</v>
      </c>
      <c r="G84" s="7">
        <f>'Información completa'!X71</f>
        <v>26061713</v>
      </c>
      <c r="H84" s="7">
        <f>'Información completa'!Y71</f>
        <v>26225596</v>
      </c>
      <c r="I84" s="7">
        <f>'Información completa'!Z71</f>
        <v>26327859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</row>
    <row r="85" spans="2:37" x14ac:dyDescent="0.2">
      <c r="B85" s="5"/>
      <c r="C85" s="9" t="s">
        <v>45</v>
      </c>
      <c r="D85" s="9" t="s">
        <v>1</v>
      </c>
      <c r="E85" s="9" t="s">
        <v>2</v>
      </c>
      <c r="F85" s="9" t="s">
        <v>3</v>
      </c>
      <c r="G85" s="9" t="s">
        <v>4</v>
      </c>
      <c r="H85" s="9" t="s">
        <v>5</v>
      </c>
      <c r="I85" s="9" t="s">
        <v>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</row>
    <row r="86" spans="2:37" x14ac:dyDescent="0.2">
      <c r="B86" s="5"/>
      <c r="C86" s="7" t="s">
        <v>53</v>
      </c>
      <c r="D86" s="7">
        <v>1</v>
      </c>
      <c r="E86" s="7">
        <f>$D87/E87</f>
        <v>2.2266088512724114</v>
      </c>
      <c r="F86" s="7">
        <f t="shared" ref="F86" si="22">$D87/F87</f>
        <v>4.2767186412171139</v>
      </c>
      <c r="G86" s="7">
        <f t="shared" ref="G86" si="23">$D87/G87</f>
        <v>4.2645652973570902</v>
      </c>
      <c r="H86" s="7">
        <f t="shared" ref="H86" si="24">$D87/H87</f>
        <v>4.1018771955629978</v>
      </c>
      <c r="I86" s="7">
        <f>$D87/I87</f>
        <v>4.2041909308907393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</row>
    <row r="87" spans="2:37" x14ac:dyDescent="0.2">
      <c r="B87" s="5"/>
      <c r="C87" s="7" t="s">
        <v>49</v>
      </c>
      <c r="D87" s="7">
        <f>'Información completa'!AC71</f>
        <v>1347066254</v>
      </c>
      <c r="E87" s="7">
        <f>'Información completa'!AD71</f>
        <v>604985583</v>
      </c>
      <c r="F87" s="7">
        <f>'Información completa'!AE71</f>
        <v>314976590</v>
      </c>
      <c r="G87" s="7">
        <f>'Información completa'!AF71</f>
        <v>315874224</v>
      </c>
      <c r="H87" s="7">
        <f>'Información completa'!AG71</f>
        <v>328402385</v>
      </c>
      <c r="I87" s="7">
        <f>'Información completa'!AH71</f>
        <v>320410342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</row>
    <row r="88" spans="2:37" x14ac:dyDescent="0.2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</row>
    <row r="89" spans="2:37" x14ac:dyDescent="0.2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</row>
    <row r="90" spans="2:37" x14ac:dyDescent="0.2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</row>
    <row r="91" spans="2:37" x14ac:dyDescent="0.2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</row>
    <row r="92" spans="2:37" x14ac:dyDescent="0.2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</row>
    <row r="93" spans="2:37" x14ac:dyDescent="0.2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</row>
    <row r="94" spans="2:37" x14ac:dyDescent="0.2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</row>
    <row r="95" spans="2:37" x14ac:dyDescent="0.2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</row>
    <row r="96" spans="2:37" x14ac:dyDescent="0.2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</row>
    <row r="97" spans="2:37" x14ac:dyDescent="0.2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</row>
    <row r="98" spans="2:37" x14ac:dyDescent="0.2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</row>
    <row r="99" spans="2:37" x14ac:dyDescent="0.2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</row>
    <row r="100" spans="2:37" x14ac:dyDescent="0.2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</row>
    <row r="101" spans="2:37" x14ac:dyDescent="0.2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</row>
    <row r="102" spans="2:37" x14ac:dyDescent="0.2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</row>
    <row r="103" spans="2:37" x14ac:dyDescent="0.2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</row>
    <row r="104" spans="2:37" x14ac:dyDescent="0.2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</row>
    <row r="105" spans="2:37" x14ac:dyDescent="0.2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</row>
    <row r="106" spans="2:37" x14ac:dyDescent="0.2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</row>
    <row r="107" spans="2:37" x14ac:dyDescent="0.2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</row>
    <row r="108" spans="2:37" x14ac:dyDescent="0.2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</row>
    <row r="109" spans="2:37" x14ac:dyDescent="0.2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</row>
    <row r="110" spans="2:37" x14ac:dyDescent="0.2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</row>
    <row r="111" spans="2:37" x14ac:dyDescent="0.2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</row>
    <row r="112" spans="2:37" x14ac:dyDescent="0.2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</row>
    <row r="113" spans="2:37" x14ac:dyDescent="0.2"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</row>
    <row r="114" spans="2:37" x14ac:dyDescent="0.2"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</row>
    <row r="115" spans="2:37" x14ac:dyDescent="0.2"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</row>
    <row r="116" spans="2:37" x14ac:dyDescent="0.2"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</row>
    <row r="117" spans="2:37" x14ac:dyDescent="0.2"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</row>
    <row r="118" spans="2:37" x14ac:dyDescent="0.2"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</row>
    <row r="119" spans="2:37" x14ac:dyDescent="0.2"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</row>
    <row r="120" spans="2:37" x14ac:dyDescent="0.2"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</row>
    <row r="121" spans="2:37" x14ac:dyDescent="0.2"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</row>
    <row r="122" spans="2:37" x14ac:dyDescent="0.2"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2:37" x14ac:dyDescent="0.2"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</row>
    <row r="124" spans="2:37" x14ac:dyDescent="0.2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</row>
    <row r="125" spans="2:37" x14ac:dyDescent="0.2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</row>
    <row r="126" spans="2:37" x14ac:dyDescent="0.2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</row>
    <row r="127" spans="2:37" x14ac:dyDescent="0.2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</row>
    <row r="128" spans="2:37" x14ac:dyDescent="0.2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8"/>
    </row>
    <row r="129" spans="2:37" x14ac:dyDescent="0.2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</row>
    <row r="130" spans="2:37" x14ac:dyDescent="0.2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</row>
    <row r="131" spans="2:37" x14ac:dyDescent="0.2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</row>
    <row r="132" spans="2:37" x14ac:dyDescent="0.2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</row>
    <row r="133" spans="2:37" x14ac:dyDescent="0.2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</row>
    <row r="134" spans="2:37" x14ac:dyDescent="0.2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</row>
    <row r="135" spans="2:37" x14ac:dyDescent="0.2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</row>
    <row r="136" spans="2:37" x14ac:dyDescent="0.2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</row>
    <row r="137" spans="2:37" x14ac:dyDescent="0.2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</row>
    <row r="138" spans="2:37" ht="29" customHeight="1" thickBot="1" x14ac:dyDescent="0.25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/>
    </row>
    <row r="141" spans="2:37" ht="16" thickBot="1" x14ac:dyDescent="0.25"/>
    <row r="142" spans="2:37" x14ac:dyDescent="0.2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2:37" ht="37" x14ac:dyDescent="0.45">
      <c r="B143" s="5"/>
      <c r="C143" s="6" t="s">
        <v>42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</row>
    <row r="144" spans="2:37" x14ac:dyDescent="0.2">
      <c r="B144" s="5"/>
      <c r="C144" s="9" t="s">
        <v>45</v>
      </c>
      <c r="D144" s="9" t="s">
        <v>1</v>
      </c>
      <c r="E144" s="9" t="s">
        <v>2</v>
      </c>
      <c r="F144" s="9" t="s">
        <v>3</v>
      </c>
      <c r="G144" s="9" t="s">
        <v>4</v>
      </c>
      <c r="H144" s="9" t="s">
        <v>5</v>
      </c>
      <c r="I144" s="9" t="s">
        <v>6</v>
      </c>
      <c r="J144" s="7"/>
      <c r="K144" s="46" t="s">
        <v>45</v>
      </c>
      <c r="L144" s="46"/>
      <c r="M144" s="9" t="s">
        <v>1</v>
      </c>
      <c r="N144" s="9" t="s">
        <v>2</v>
      </c>
      <c r="O144" s="9" t="s">
        <v>3</v>
      </c>
      <c r="P144" s="9" t="s">
        <v>4</v>
      </c>
      <c r="Q144" s="9" t="s">
        <v>5</v>
      </c>
      <c r="R144" s="9" t="s">
        <v>6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</row>
    <row r="145" spans="2:37" x14ac:dyDescent="0.2">
      <c r="B145" s="5"/>
      <c r="C145" s="7" t="s">
        <v>50</v>
      </c>
      <c r="D145" s="7">
        <v>1</v>
      </c>
      <c r="E145" s="7">
        <f>$D146/E146</f>
        <v>5.7050329463578509</v>
      </c>
      <c r="F145" s="7">
        <f t="shared" ref="F145" si="25">$D146/F146</f>
        <v>4.3588184807879822</v>
      </c>
      <c r="G145" s="7">
        <f t="shared" ref="G145" si="26">$D146/G146</f>
        <v>4.3945173975058562</v>
      </c>
      <c r="H145" s="7">
        <f t="shared" ref="H145" si="27">$D146/H146</f>
        <v>3.686036237511285</v>
      </c>
      <c r="I145" s="7">
        <f t="shared" ref="I145" si="28">$D146/I146</f>
        <v>4.4879165559971197</v>
      </c>
      <c r="J145" s="7"/>
      <c r="K145" s="47" t="s">
        <v>54</v>
      </c>
      <c r="L145" s="47"/>
      <c r="M145" s="7">
        <f t="shared" ref="M145:R145" si="29">(D145+D148+D151+D154)/4</f>
        <v>1</v>
      </c>
      <c r="N145" s="7">
        <f t="shared" si="29"/>
        <v>3.6595192646893708</v>
      </c>
      <c r="O145" s="7">
        <f t="shared" si="29"/>
        <v>4.2030921184179739</v>
      </c>
      <c r="P145" s="7">
        <f t="shared" si="29"/>
        <v>4.7024295359263606</v>
      </c>
      <c r="Q145" s="7">
        <f t="shared" si="29"/>
        <v>4.5240519736048039</v>
      </c>
      <c r="R145" s="7">
        <f t="shared" si="29"/>
        <v>4.7368688189582056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</row>
    <row r="146" spans="2:37" x14ac:dyDescent="0.2">
      <c r="B146" s="5"/>
      <c r="C146" s="7" t="s">
        <v>46</v>
      </c>
      <c r="D146" s="7">
        <f>'Información completa'!E107</f>
        <v>2686597</v>
      </c>
      <c r="E146" s="7">
        <f>'Información completa'!F107</f>
        <v>470917</v>
      </c>
      <c r="F146" s="7">
        <f>'Información completa'!G107</f>
        <v>616359</v>
      </c>
      <c r="G146" s="7">
        <f>'Información completa'!H107</f>
        <v>611352</v>
      </c>
      <c r="H146" s="7">
        <f>'Información completa'!I107</f>
        <v>728858</v>
      </c>
      <c r="I146" s="7">
        <f>'Información completa'!J107</f>
        <v>598629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</row>
    <row r="147" spans="2:37" x14ac:dyDescent="0.2">
      <c r="B147" s="5"/>
      <c r="C147" s="9" t="s">
        <v>45</v>
      </c>
      <c r="D147" s="9" t="s">
        <v>1</v>
      </c>
      <c r="E147" s="9" t="s">
        <v>2</v>
      </c>
      <c r="F147" s="9" t="s">
        <v>3</v>
      </c>
      <c r="G147" s="9" t="s">
        <v>4</v>
      </c>
      <c r="H147" s="9" t="s">
        <v>5</v>
      </c>
      <c r="I147" s="9" t="s">
        <v>6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</row>
    <row r="148" spans="2:37" x14ac:dyDescent="0.2">
      <c r="B148" s="5"/>
      <c r="C148" s="7" t="s">
        <v>51</v>
      </c>
      <c r="D148" s="7">
        <v>1</v>
      </c>
      <c r="E148" s="7">
        <f>$D149/E149</f>
        <v>4.0060540685075914</v>
      </c>
      <c r="F148" s="7">
        <f t="shared" ref="F148" si="30">$D149/F149</f>
        <v>3.8263540602722865</v>
      </c>
      <c r="G148" s="7">
        <f t="shared" ref="G148" si="31">$D149/G149</f>
        <v>5.5292513381242188</v>
      </c>
      <c r="H148" s="7">
        <f t="shared" ref="H148" si="32">$D149/H149</f>
        <v>5.788654015353524</v>
      </c>
      <c r="I148" s="7">
        <f>$D149/I149</f>
        <v>6.0549065259273673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</row>
    <row r="149" spans="2:37" x14ac:dyDescent="0.2">
      <c r="B149" s="5"/>
      <c r="C149" s="7" t="s">
        <v>47</v>
      </c>
      <c r="D149" s="7">
        <f>'Información completa'!M107</f>
        <v>19296866</v>
      </c>
      <c r="E149" s="7">
        <f>'Información completa'!N107</f>
        <v>4816926</v>
      </c>
      <c r="F149" s="7">
        <f>'Información completa'!O107</f>
        <v>5043147</v>
      </c>
      <c r="G149" s="7">
        <f>'Información completa'!P107</f>
        <v>3489960</v>
      </c>
      <c r="H149" s="7">
        <f>'Información completa'!Q107</f>
        <v>3333567</v>
      </c>
      <c r="I149" s="7">
        <f>'Información completa'!R107</f>
        <v>3186980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</row>
    <row r="150" spans="2:37" x14ac:dyDescent="0.2">
      <c r="B150" s="5"/>
      <c r="C150" s="9" t="s">
        <v>45</v>
      </c>
      <c r="D150" s="9" t="s">
        <v>1</v>
      </c>
      <c r="E150" s="9" t="s">
        <v>2</v>
      </c>
      <c r="F150" s="9" t="s">
        <v>3</v>
      </c>
      <c r="G150" s="9" t="s">
        <v>4</v>
      </c>
      <c r="H150" s="9" t="s">
        <v>5</v>
      </c>
      <c r="I150" s="9" t="s">
        <v>6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</row>
    <row r="151" spans="2:37" x14ac:dyDescent="0.2">
      <c r="B151" s="5"/>
      <c r="C151" s="7" t="s">
        <v>52</v>
      </c>
      <c r="D151" s="7">
        <v>1</v>
      </c>
      <c r="E151" s="7">
        <f>$D152/E152</f>
        <v>2.7029853167219628</v>
      </c>
      <c r="F151" s="7">
        <f t="shared" ref="F151" si="33">$D152/F152</f>
        <v>4.3073905624656277</v>
      </c>
      <c r="G151" s="7">
        <f t="shared" ref="G151" si="34">$D152/G152</f>
        <v>4.5694219560389344</v>
      </c>
      <c r="H151" s="7">
        <f t="shared" ref="H151" si="35">$D152/H152</f>
        <v>4.5620687776772089</v>
      </c>
      <c r="I151" s="7">
        <f>$D152/I152</f>
        <v>4.3192890989514519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</row>
    <row r="152" spans="2:37" x14ac:dyDescent="0.2">
      <c r="B152" s="5"/>
      <c r="C152" s="7" t="s">
        <v>48</v>
      </c>
      <c r="D152" s="7">
        <f>'Información completa'!U107</f>
        <v>140362046</v>
      </c>
      <c r="E152" s="7">
        <f>'Información completa'!V107</f>
        <v>51928527</v>
      </c>
      <c r="F152" s="7">
        <f>'Información completa'!W107</f>
        <v>32586329</v>
      </c>
      <c r="G152" s="7">
        <f>'Información completa'!X107</f>
        <v>30717681</v>
      </c>
      <c r="H152" s="7">
        <f>'Información completa'!Y107</f>
        <v>30767192</v>
      </c>
      <c r="I152" s="7">
        <f>'Información completa'!Z107</f>
        <v>32496562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</row>
    <row r="153" spans="2:37" x14ac:dyDescent="0.2">
      <c r="B153" s="5"/>
      <c r="C153" s="9" t="s">
        <v>45</v>
      </c>
      <c r="D153" s="9" t="s">
        <v>1</v>
      </c>
      <c r="E153" s="9" t="s">
        <v>2</v>
      </c>
      <c r="F153" s="9" t="s">
        <v>3</v>
      </c>
      <c r="G153" s="9" t="s">
        <v>4</v>
      </c>
      <c r="H153" s="9" t="s">
        <v>5</v>
      </c>
      <c r="I153" s="9" t="s">
        <v>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</row>
    <row r="154" spans="2:37" x14ac:dyDescent="0.2">
      <c r="B154" s="5"/>
      <c r="C154" s="7" t="s">
        <v>53</v>
      </c>
      <c r="D154" s="7">
        <v>1</v>
      </c>
      <c r="E154" s="7">
        <f>$D155/E155</f>
        <v>2.22400472717008</v>
      </c>
      <c r="F154" s="7">
        <f t="shared" ref="F154" si="36">$D155/F155</f>
        <v>4.319805370145998</v>
      </c>
      <c r="G154" s="7">
        <f t="shared" ref="G154" si="37">$D155/G155</f>
        <v>4.316527452036433</v>
      </c>
      <c r="H154" s="7">
        <f t="shared" ref="H154" si="38">$D155/H155</f>
        <v>4.0594488638771988</v>
      </c>
      <c r="I154" s="7">
        <f>$D155/I155</f>
        <v>4.0853630949568815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</row>
    <row r="155" spans="2:37" x14ac:dyDescent="0.2">
      <c r="B155" s="5"/>
      <c r="C155" s="7" t="s">
        <v>49</v>
      </c>
      <c r="D155" s="7">
        <f>'Información completa'!AC107</f>
        <v>1402087847</v>
      </c>
      <c r="E155" s="7">
        <f>'Información completa'!AD107</f>
        <v>630433843</v>
      </c>
      <c r="F155" s="7">
        <f>'Información completa'!AE107</f>
        <v>324571995</v>
      </c>
      <c r="G155" s="7">
        <f>'Información completa'!AF107</f>
        <v>324818471</v>
      </c>
      <c r="H155" s="7">
        <f>'Información completa'!AG107</f>
        <v>345388720</v>
      </c>
      <c r="I155" s="7">
        <f>'Información completa'!AH107</f>
        <v>343197854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</row>
    <row r="156" spans="2:37" x14ac:dyDescent="0.2"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</row>
    <row r="157" spans="2:37" x14ac:dyDescent="0.2"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</row>
    <row r="158" spans="2:37" x14ac:dyDescent="0.2"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</row>
    <row r="159" spans="2:37" x14ac:dyDescent="0.2"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</row>
    <row r="160" spans="2:37" x14ac:dyDescent="0.2"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</row>
    <row r="161" spans="2:37" x14ac:dyDescent="0.2"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</row>
    <row r="162" spans="2:37" x14ac:dyDescent="0.2"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</row>
    <row r="163" spans="2:37" x14ac:dyDescent="0.2"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</row>
    <row r="164" spans="2:37" x14ac:dyDescent="0.2"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</row>
    <row r="165" spans="2:37" x14ac:dyDescent="0.2"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</row>
    <row r="166" spans="2:37" x14ac:dyDescent="0.2"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</row>
    <row r="167" spans="2:37" x14ac:dyDescent="0.2"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</row>
    <row r="168" spans="2:37" x14ac:dyDescent="0.2"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</row>
    <row r="169" spans="2:37" x14ac:dyDescent="0.2"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</row>
    <row r="170" spans="2:37" x14ac:dyDescent="0.2"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</row>
    <row r="171" spans="2:37" x14ac:dyDescent="0.2"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</row>
    <row r="172" spans="2:37" x14ac:dyDescent="0.2"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</row>
    <row r="173" spans="2:37" x14ac:dyDescent="0.2"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</row>
    <row r="174" spans="2:37" x14ac:dyDescent="0.2"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</row>
    <row r="175" spans="2:37" x14ac:dyDescent="0.2"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</row>
    <row r="176" spans="2:37" x14ac:dyDescent="0.2"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</row>
    <row r="177" spans="2:37" x14ac:dyDescent="0.2"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</row>
    <row r="178" spans="2:37" x14ac:dyDescent="0.2"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</row>
    <row r="179" spans="2:37" x14ac:dyDescent="0.2"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</row>
    <row r="180" spans="2:37" x14ac:dyDescent="0.2"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</row>
    <row r="181" spans="2:37" x14ac:dyDescent="0.2"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</row>
    <row r="182" spans="2:37" x14ac:dyDescent="0.2"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</row>
    <row r="183" spans="2:37" x14ac:dyDescent="0.2"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</row>
    <row r="184" spans="2:37" x14ac:dyDescent="0.2"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</row>
    <row r="185" spans="2:37" x14ac:dyDescent="0.2"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</row>
    <row r="186" spans="2:37" x14ac:dyDescent="0.2"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</row>
    <row r="187" spans="2:37" x14ac:dyDescent="0.2"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</row>
    <row r="188" spans="2:37" x14ac:dyDescent="0.2"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</row>
    <row r="189" spans="2:37" x14ac:dyDescent="0.2"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</row>
    <row r="190" spans="2:37" x14ac:dyDescent="0.2"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</row>
    <row r="191" spans="2:37" x14ac:dyDescent="0.2"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</row>
    <row r="192" spans="2:37" x14ac:dyDescent="0.2"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</row>
    <row r="193" spans="2:37" x14ac:dyDescent="0.2"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</row>
    <row r="194" spans="2:37" x14ac:dyDescent="0.2"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</row>
    <row r="195" spans="2:37" x14ac:dyDescent="0.2"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</row>
    <row r="196" spans="2:37" x14ac:dyDescent="0.2"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</row>
    <row r="197" spans="2:37" x14ac:dyDescent="0.2"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</row>
    <row r="198" spans="2:37" x14ac:dyDescent="0.2"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</row>
    <row r="199" spans="2:37" x14ac:dyDescent="0.2"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</row>
    <row r="200" spans="2:37" x14ac:dyDescent="0.2"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</row>
    <row r="201" spans="2:37" x14ac:dyDescent="0.2"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</row>
    <row r="202" spans="2:37" x14ac:dyDescent="0.2"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</row>
    <row r="203" spans="2:37" x14ac:dyDescent="0.2"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</row>
    <row r="204" spans="2:37" x14ac:dyDescent="0.2"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</row>
    <row r="205" spans="2:37" x14ac:dyDescent="0.2"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</row>
    <row r="206" spans="2:37" ht="30.5" customHeight="1" thickBot="1" x14ac:dyDescent="0.25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</row>
    <row r="209" spans="2:37" ht="16" thickBot="1" x14ac:dyDescent="0.25"/>
    <row r="210" spans="2:37" x14ac:dyDescent="0.2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2:37" ht="37" x14ac:dyDescent="0.45">
      <c r="B211" s="5"/>
      <c r="C211" s="6" t="s">
        <v>43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</row>
    <row r="212" spans="2:37" x14ac:dyDescent="0.2">
      <c r="B212" s="5"/>
      <c r="C212" s="9" t="s">
        <v>45</v>
      </c>
      <c r="D212" s="9" t="s">
        <v>1</v>
      </c>
      <c r="E212" s="9" t="s">
        <v>2</v>
      </c>
      <c r="F212" s="9" t="s">
        <v>3</v>
      </c>
      <c r="G212" s="9" t="s">
        <v>4</v>
      </c>
      <c r="H212" s="9" t="s">
        <v>5</v>
      </c>
      <c r="I212" s="9" t="s">
        <v>6</v>
      </c>
      <c r="J212" s="7"/>
      <c r="K212" s="46" t="s">
        <v>45</v>
      </c>
      <c r="L212" s="46"/>
      <c r="M212" s="9" t="s">
        <v>1</v>
      </c>
      <c r="N212" s="9" t="s">
        <v>2</v>
      </c>
      <c r="O212" s="9" t="s">
        <v>3</v>
      </c>
      <c r="P212" s="9" t="s">
        <v>4</v>
      </c>
      <c r="Q212" s="9" t="s">
        <v>5</v>
      </c>
      <c r="R212" s="9" t="s">
        <v>6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</row>
    <row r="213" spans="2:37" x14ac:dyDescent="0.2">
      <c r="B213" s="5"/>
      <c r="C213" s="7" t="s">
        <v>50</v>
      </c>
      <c r="D213" s="7">
        <v>1</v>
      </c>
      <c r="E213" s="7">
        <f>$D214/E214</f>
        <v>4.7370542022945559</v>
      </c>
      <c r="F213" s="7">
        <f t="shared" ref="F213" si="39">$D214/F214</f>
        <v>3.8315832808640482</v>
      </c>
      <c r="G213" s="7">
        <f t="shared" ref="G213" si="40">$D214/G214</f>
        <v>3.8428249443812965</v>
      </c>
      <c r="H213" s="7">
        <f t="shared" ref="H213" si="41">$D214/H214</f>
        <v>3.0371938742211286</v>
      </c>
      <c r="I213" s="7">
        <f t="shared" ref="I213" si="42">$D214/I214</f>
        <v>3.8861860106401269</v>
      </c>
      <c r="J213" s="7"/>
      <c r="K213" s="47" t="s">
        <v>54</v>
      </c>
      <c r="L213" s="47"/>
      <c r="M213" s="7">
        <f t="shared" ref="M213:R213" si="43">(D213+D216+D219+D222)/4</f>
        <v>1</v>
      </c>
      <c r="N213" s="7">
        <f t="shared" si="43"/>
        <v>2.8698604238365926</v>
      </c>
      <c r="O213" s="7">
        <f t="shared" si="43"/>
        <v>3.9269434286023861</v>
      </c>
      <c r="P213" s="7">
        <f t="shared" si="43"/>
        <v>4.007018445768801</v>
      </c>
      <c r="Q213" s="7">
        <f t="shared" si="43"/>
        <v>3.7777005216633208</v>
      </c>
      <c r="R213" s="7">
        <f t="shared" si="43"/>
        <v>4.0434720953258534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</row>
    <row r="214" spans="2:37" x14ac:dyDescent="0.2">
      <c r="B214" s="5"/>
      <c r="C214" s="7" t="s">
        <v>46</v>
      </c>
      <c r="D214" s="7">
        <f>'Información completa'!E143</f>
        <v>791107</v>
      </c>
      <c r="E214" s="7">
        <f>'Información completa'!F143</f>
        <v>167004</v>
      </c>
      <c r="F214" s="7">
        <f>'Información completa'!G143</f>
        <v>206470</v>
      </c>
      <c r="G214" s="7">
        <f>'Información completa'!H143</f>
        <v>205866</v>
      </c>
      <c r="H214" s="7">
        <f>'Información completa'!I143</f>
        <v>260473</v>
      </c>
      <c r="I214" s="7">
        <f>'Información completa'!J143</f>
        <v>203569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</row>
    <row r="215" spans="2:37" x14ac:dyDescent="0.2">
      <c r="B215" s="5"/>
      <c r="C215" s="9" t="s">
        <v>45</v>
      </c>
      <c r="D215" s="9" t="s">
        <v>1</v>
      </c>
      <c r="E215" s="9" t="s">
        <v>2</v>
      </c>
      <c r="F215" s="9" t="s">
        <v>3</v>
      </c>
      <c r="G215" s="9" t="s">
        <v>4</v>
      </c>
      <c r="H215" s="9" t="s">
        <v>5</v>
      </c>
      <c r="I215" s="9" t="s">
        <v>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</row>
    <row r="216" spans="2:37" x14ac:dyDescent="0.2">
      <c r="B216" s="5"/>
      <c r="C216" s="7" t="s">
        <v>51</v>
      </c>
      <c r="D216" s="7">
        <v>1</v>
      </c>
      <c r="E216" s="7">
        <f>$D217/E217</f>
        <v>2.2926870045611856</v>
      </c>
      <c r="F216" s="7">
        <f t="shared" ref="F216" si="44">$D217/F217</f>
        <v>3.9914309636735945</v>
      </c>
      <c r="G216" s="7">
        <f t="shared" ref="G216" si="45">$D217/G217</f>
        <v>3.9441157949818626</v>
      </c>
      <c r="H216" s="7">
        <f t="shared" ref="H216" si="46">$D217/H217</f>
        <v>3.9617546704202264</v>
      </c>
      <c r="I216" s="7">
        <f>$D217/I217</f>
        <v>4.0078188569250894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</row>
    <row r="217" spans="2:37" x14ac:dyDescent="0.2">
      <c r="B217" s="5"/>
      <c r="C217" s="7" t="s">
        <v>47</v>
      </c>
      <c r="D217" s="7">
        <f>'Información completa'!M143</f>
        <v>3112921</v>
      </c>
      <c r="E217" s="7">
        <f>'Información completa'!N143</f>
        <v>1357761</v>
      </c>
      <c r="F217" s="7">
        <f>'Información completa'!O143</f>
        <v>779901</v>
      </c>
      <c r="G217" s="7">
        <f>'Información completa'!P143</f>
        <v>789257</v>
      </c>
      <c r="H217" s="7">
        <f>'Información completa'!Q143</f>
        <v>785743</v>
      </c>
      <c r="I217" s="7">
        <f>'Información completa'!R143</f>
        <v>776712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</row>
    <row r="218" spans="2:37" x14ac:dyDescent="0.2">
      <c r="B218" s="5"/>
      <c r="C218" s="9" t="s">
        <v>45</v>
      </c>
      <c r="D218" s="9" t="s">
        <v>1</v>
      </c>
      <c r="E218" s="9" t="s">
        <v>2</v>
      </c>
      <c r="F218" s="9" t="s">
        <v>3</v>
      </c>
      <c r="G218" s="9" t="s">
        <v>4</v>
      </c>
      <c r="H218" s="9" t="s">
        <v>5</v>
      </c>
      <c r="I218" s="9" t="s">
        <v>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8"/>
    </row>
    <row r="219" spans="2:37" x14ac:dyDescent="0.2">
      <c r="B219" s="5"/>
      <c r="C219" s="7" t="s">
        <v>52</v>
      </c>
      <c r="D219" s="7">
        <v>1</v>
      </c>
      <c r="E219" s="7">
        <f>$D220/E220</f>
        <v>2.3355519113910277</v>
      </c>
      <c r="F219" s="7">
        <f t="shared" ref="F219" si="47">$D220/F220</f>
        <v>3.9425325497967698</v>
      </c>
      <c r="G219" s="7">
        <f t="shared" ref="G219" si="48">$D220/G220</f>
        <v>4.133295248945771</v>
      </c>
      <c r="H219" s="7">
        <f t="shared" ref="H219" si="49">$D220/H220</f>
        <v>4.0700636153652638</v>
      </c>
      <c r="I219" s="7">
        <f>$D220/I220</f>
        <v>4.1011233168051042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</row>
    <row r="220" spans="2:37" x14ac:dyDescent="0.2">
      <c r="B220" s="5"/>
      <c r="C220" s="7" t="s">
        <v>48</v>
      </c>
      <c r="D220" s="7">
        <f>'Información completa'!U143</f>
        <v>25627530</v>
      </c>
      <c r="E220" s="7">
        <f>'Información completa'!V143</f>
        <v>10972794</v>
      </c>
      <c r="F220" s="7">
        <f>'Información completa'!W143</f>
        <v>6500271</v>
      </c>
      <c r="G220" s="7">
        <f>'Información completa'!X143</f>
        <v>6200266</v>
      </c>
      <c r="H220" s="7">
        <f>'Información completa'!Y143</f>
        <v>6296592</v>
      </c>
      <c r="I220" s="7">
        <f>'Información completa'!Z143</f>
        <v>6248905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</row>
    <row r="221" spans="2:37" x14ac:dyDescent="0.2">
      <c r="B221" s="5"/>
      <c r="C221" s="9" t="s">
        <v>45</v>
      </c>
      <c r="D221" s="9" t="s">
        <v>1</v>
      </c>
      <c r="E221" s="9" t="s">
        <v>2</v>
      </c>
      <c r="F221" s="9" t="s">
        <v>3</v>
      </c>
      <c r="G221" s="9" t="s">
        <v>4</v>
      </c>
      <c r="H221" s="9" t="s">
        <v>5</v>
      </c>
      <c r="I221" s="9" t="s">
        <v>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</row>
    <row r="222" spans="2:37" x14ac:dyDescent="0.2">
      <c r="B222" s="5"/>
      <c r="C222" s="7" t="s">
        <v>53</v>
      </c>
      <c r="D222" s="7">
        <v>1</v>
      </c>
      <c r="E222" s="7">
        <f>$D223/E223</f>
        <v>2.1141485770996011</v>
      </c>
      <c r="F222" s="7">
        <f t="shared" ref="F222" si="50">$D223/F223</f>
        <v>3.9422269200751323</v>
      </c>
      <c r="G222" s="7">
        <f t="shared" ref="G222" si="51">$D223/G223</f>
        <v>4.1078377947662732</v>
      </c>
      <c r="H222" s="7">
        <f t="shared" ref="H222" si="52">$D223/H223</f>
        <v>4.0417899266466639</v>
      </c>
      <c r="I222" s="7">
        <f>$D223/I223</f>
        <v>4.1787601969330943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</row>
    <row r="223" spans="2:37" x14ac:dyDescent="0.2">
      <c r="B223" s="5"/>
      <c r="C223" s="7" t="s">
        <v>49</v>
      </c>
      <c r="D223" s="7">
        <f>'Información completa'!AC143</f>
        <v>175278974</v>
      </c>
      <c r="E223" s="7">
        <f>'Información completa'!AD143</f>
        <v>82907595</v>
      </c>
      <c r="F223" s="7">
        <f>'Información completa'!AE143</f>
        <v>44461919</v>
      </c>
      <c r="G223" s="7">
        <f>'Información completa'!AF143</f>
        <v>42669400</v>
      </c>
      <c r="H223" s="7">
        <f>'Información completa'!AG143</f>
        <v>43366671</v>
      </c>
      <c r="I223" s="7">
        <f>'Información completa'!AH143</f>
        <v>41945210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</row>
    <row r="224" spans="2:37" x14ac:dyDescent="0.2"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</row>
    <row r="225" spans="2:37" x14ac:dyDescent="0.2"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</row>
    <row r="226" spans="2:37" x14ac:dyDescent="0.2"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</row>
    <row r="227" spans="2:37" x14ac:dyDescent="0.2"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</row>
    <row r="228" spans="2:37" x14ac:dyDescent="0.2"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</row>
    <row r="229" spans="2:37" x14ac:dyDescent="0.2"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</row>
    <row r="230" spans="2:37" x14ac:dyDescent="0.2"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</row>
    <row r="231" spans="2:37" x14ac:dyDescent="0.2"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</row>
    <row r="232" spans="2:37" x14ac:dyDescent="0.2"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</row>
    <row r="233" spans="2:37" x14ac:dyDescent="0.2"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</row>
    <row r="234" spans="2:37" x14ac:dyDescent="0.2"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</row>
    <row r="235" spans="2:37" x14ac:dyDescent="0.2"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</row>
    <row r="236" spans="2:37" x14ac:dyDescent="0.2"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</row>
    <row r="237" spans="2:37" x14ac:dyDescent="0.2"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</row>
    <row r="238" spans="2:37" x14ac:dyDescent="0.2"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</row>
    <row r="239" spans="2:37" x14ac:dyDescent="0.2"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</row>
    <row r="240" spans="2:37" x14ac:dyDescent="0.2"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</row>
    <row r="241" spans="2:37" x14ac:dyDescent="0.2"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</row>
    <row r="242" spans="2:37" x14ac:dyDescent="0.2"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</row>
    <row r="243" spans="2:37" x14ac:dyDescent="0.2"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</row>
    <row r="244" spans="2:37" x14ac:dyDescent="0.2"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</row>
    <row r="245" spans="2:37" x14ac:dyDescent="0.2"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</row>
    <row r="246" spans="2:37" x14ac:dyDescent="0.2"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</row>
    <row r="247" spans="2:37" x14ac:dyDescent="0.2"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</row>
    <row r="248" spans="2:37" x14ac:dyDescent="0.2"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</row>
    <row r="249" spans="2:37" x14ac:dyDescent="0.2"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</row>
    <row r="250" spans="2:37" x14ac:dyDescent="0.2"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</row>
    <row r="251" spans="2:37" x14ac:dyDescent="0.2"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</row>
    <row r="252" spans="2:37" x14ac:dyDescent="0.2"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</row>
    <row r="253" spans="2:37" x14ac:dyDescent="0.2"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</row>
    <row r="254" spans="2:37" x14ac:dyDescent="0.2"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</row>
    <row r="255" spans="2:37" x14ac:dyDescent="0.2"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</row>
    <row r="256" spans="2:37" x14ac:dyDescent="0.2"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</row>
    <row r="257" spans="2:37" x14ac:dyDescent="0.2"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</row>
    <row r="258" spans="2:37" x14ac:dyDescent="0.2"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</row>
    <row r="259" spans="2:37" x14ac:dyDescent="0.2"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</row>
    <row r="260" spans="2:37" x14ac:dyDescent="0.2"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</row>
    <row r="261" spans="2:37" x14ac:dyDescent="0.2"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</row>
    <row r="262" spans="2:37" x14ac:dyDescent="0.2"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</row>
    <row r="263" spans="2:37" x14ac:dyDescent="0.2"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</row>
    <row r="264" spans="2:37" x14ac:dyDescent="0.2"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</row>
    <row r="265" spans="2:37" x14ac:dyDescent="0.2"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</row>
    <row r="266" spans="2:37" x14ac:dyDescent="0.2"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</row>
    <row r="267" spans="2:37" x14ac:dyDescent="0.2"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</row>
    <row r="268" spans="2:37" x14ac:dyDescent="0.2"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</row>
    <row r="269" spans="2:37" x14ac:dyDescent="0.2"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</row>
    <row r="270" spans="2:37" x14ac:dyDescent="0.2"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</row>
    <row r="271" spans="2:37" x14ac:dyDescent="0.2"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</row>
    <row r="272" spans="2:37" x14ac:dyDescent="0.2"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</row>
    <row r="273" spans="2:37" x14ac:dyDescent="0.2"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</row>
    <row r="274" spans="2:37" ht="29" customHeight="1" thickBot="1" x14ac:dyDescent="0.25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2"/>
    </row>
  </sheetData>
  <mergeCells count="8">
    <mergeCell ref="K212:L212"/>
    <mergeCell ref="K213:L213"/>
    <mergeCell ref="K8:L8"/>
    <mergeCell ref="K9:L9"/>
    <mergeCell ref="K76:L76"/>
    <mergeCell ref="K77:L77"/>
    <mergeCell ref="K144:L144"/>
    <mergeCell ref="K145:L1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CEE-D70F-4769-AFEA-1E86F20829F9}">
  <dimension ref="B2:O151"/>
  <sheetViews>
    <sheetView topLeftCell="A2" zoomScale="118" zoomScaleNormal="70" workbookViewId="0">
      <selection activeCell="J115" sqref="J115"/>
    </sheetView>
  </sheetViews>
  <sheetFormatPr baseColWidth="10" defaultRowHeight="15" x14ac:dyDescent="0.2"/>
  <cols>
    <col min="1" max="1" width="10.83203125" customWidth="1"/>
    <col min="2" max="2" width="2.6640625" customWidth="1"/>
    <col min="3" max="3" width="19.83203125" customWidth="1"/>
    <col min="4" max="4" width="21.83203125" customWidth="1"/>
    <col min="15" max="15" width="2.6640625" customWidth="1"/>
  </cols>
  <sheetData>
    <row r="2" spans="2:15" ht="16" thickBot="1" x14ac:dyDescent="0.25"/>
    <row r="3" spans="2:15" x14ac:dyDescent="0.2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ht="37" x14ac:dyDescent="0.45">
      <c r="B4" s="5"/>
      <c r="C4" s="7"/>
      <c r="D4" s="6" t="s">
        <v>55</v>
      </c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2:15" x14ac:dyDescent="0.2">
      <c r="B5" s="5"/>
      <c r="C5" s="13"/>
      <c r="D5" s="9" t="str" cm="1">
        <f t="array" ref="D5:J5">'Gráficas SpeedUp'!C8:I8</f>
        <v># Hilos</v>
      </c>
      <c r="E5" s="9" t="str">
        <v>1 hilo</v>
      </c>
      <c r="F5" s="9" t="str">
        <v>2 hilos</v>
      </c>
      <c r="G5" s="9" t="str">
        <v>4 hilos</v>
      </c>
      <c r="H5" s="9" t="str">
        <v>8 hilos</v>
      </c>
      <c r="I5" s="9" t="str">
        <v>12 hilos</v>
      </c>
      <c r="J5" s="9" t="str">
        <v>32 hilos</v>
      </c>
      <c r="K5" s="7"/>
      <c r="L5" s="7"/>
      <c r="M5" s="7"/>
      <c r="N5" s="7"/>
      <c r="O5" s="8"/>
    </row>
    <row r="6" spans="2:15" ht="14.5" customHeight="1" x14ac:dyDescent="0.2">
      <c r="B6" s="5"/>
      <c r="C6" s="48" t="s">
        <v>60</v>
      </c>
      <c r="D6" s="14" t="s">
        <v>59</v>
      </c>
      <c r="E6" s="7" cm="1">
        <f t="array" ref="E6:J6">'Gráficas SpeedUp'!D10:I10</f>
        <v>2711211</v>
      </c>
      <c r="F6" s="7">
        <v>470802</v>
      </c>
      <c r="G6" s="7">
        <v>615703</v>
      </c>
      <c r="H6" s="7">
        <v>608998</v>
      </c>
      <c r="I6" s="7">
        <v>746837</v>
      </c>
      <c r="J6" s="7">
        <v>614601</v>
      </c>
      <c r="K6" s="7"/>
      <c r="L6" s="7"/>
      <c r="M6" s="7"/>
      <c r="N6" s="7"/>
      <c r="O6" s="8"/>
    </row>
    <row r="7" spans="2:15" x14ac:dyDescent="0.2">
      <c r="B7" s="5"/>
      <c r="C7" s="48"/>
      <c r="D7" s="14" t="s">
        <v>56</v>
      </c>
      <c r="E7" s="7" cm="1">
        <f t="array" ref="E7:J7">'Gráficas SpeedUp'!D78:I78</f>
        <v>1200055</v>
      </c>
      <c r="F7" s="7">
        <v>219231</v>
      </c>
      <c r="G7" s="7">
        <v>272766</v>
      </c>
      <c r="H7" s="7">
        <v>270312</v>
      </c>
      <c r="I7" s="7">
        <v>317989</v>
      </c>
      <c r="J7" s="7">
        <v>264257</v>
      </c>
      <c r="K7" s="7"/>
      <c r="L7" s="7"/>
      <c r="M7" s="7"/>
      <c r="N7" s="7"/>
      <c r="O7" s="8"/>
    </row>
    <row r="8" spans="2:15" x14ac:dyDescent="0.2">
      <c r="B8" s="5"/>
      <c r="C8" s="48"/>
      <c r="D8" s="14" t="s">
        <v>57</v>
      </c>
      <c r="E8" s="7" cm="1">
        <f t="array" ref="E8:J8">'Gráficas SpeedUp'!D146:I146</f>
        <v>2686597</v>
      </c>
      <c r="F8" s="7">
        <v>470917</v>
      </c>
      <c r="G8" s="7">
        <v>616359</v>
      </c>
      <c r="H8" s="7">
        <v>611352</v>
      </c>
      <c r="I8" s="7">
        <v>728858</v>
      </c>
      <c r="J8" s="7">
        <v>598629</v>
      </c>
      <c r="K8" s="7"/>
      <c r="L8" s="7"/>
      <c r="M8" s="7"/>
      <c r="N8" s="7"/>
      <c r="O8" s="8"/>
    </row>
    <row r="9" spans="2:15" x14ac:dyDescent="0.2">
      <c r="B9" s="5"/>
      <c r="C9" s="48"/>
      <c r="D9" s="14" t="s">
        <v>58</v>
      </c>
      <c r="E9" s="7" cm="1">
        <f t="array" ref="E9:J9">'Gráficas SpeedUp'!D214:I214</f>
        <v>791107</v>
      </c>
      <c r="F9" s="7">
        <v>167004</v>
      </c>
      <c r="G9" s="7">
        <v>206470</v>
      </c>
      <c r="H9" s="7">
        <v>205866</v>
      </c>
      <c r="I9" s="7">
        <v>260473</v>
      </c>
      <c r="J9" s="7">
        <v>203569</v>
      </c>
      <c r="K9" s="7"/>
      <c r="L9" s="7"/>
      <c r="M9" s="7"/>
      <c r="N9" s="7"/>
      <c r="O9" s="8"/>
    </row>
    <row r="10" spans="2:15" x14ac:dyDescent="0.2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2:15" x14ac:dyDescent="0.2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x14ac:dyDescent="0.2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2:15" x14ac:dyDescent="0.2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2:15" x14ac:dyDescent="0.2"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2:15" x14ac:dyDescent="0.2"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2:15" x14ac:dyDescent="0.2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5" x14ac:dyDescent="0.2"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2:15" x14ac:dyDescent="0.2"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2:15" x14ac:dyDescent="0.2"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2:15" x14ac:dyDescent="0.2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2:15" x14ac:dyDescent="0.2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2:15" x14ac:dyDescent="0.2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2:15" x14ac:dyDescent="0.2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2:15" x14ac:dyDescent="0.2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2:15" x14ac:dyDescent="0.2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2:15" x14ac:dyDescent="0.2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2:15" x14ac:dyDescent="0.2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2:15" x14ac:dyDescent="0.2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2:15" x14ac:dyDescent="0.2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2:15" x14ac:dyDescent="0.2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2:15" x14ac:dyDescent="0.2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2:15" x14ac:dyDescent="0.2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2:15" x14ac:dyDescent="0.2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2:15" x14ac:dyDescent="0.2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2:15" x14ac:dyDescent="0.2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2:15" x14ac:dyDescent="0.2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2:15" ht="16" thickBot="1" x14ac:dyDescent="0.2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</row>
    <row r="40" spans="2:15" ht="16" thickBot="1" x14ac:dyDescent="0.25"/>
    <row r="41" spans="2:15" x14ac:dyDescent="0.2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2:15" ht="37" x14ac:dyDescent="0.45">
      <c r="B42" s="5"/>
      <c r="C42" s="7"/>
      <c r="D42" s="6" t="s">
        <v>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2:15" x14ac:dyDescent="0.2">
      <c r="B43" s="5"/>
      <c r="C43" s="13"/>
      <c r="D43" s="9" t="str" cm="1">
        <f t="array" ref="D43:J43">'Gráficas SpeedUp'!C76:I76</f>
        <v># Hilos</v>
      </c>
      <c r="E43" s="9" t="str">
        <v>1 hilo</v>
      </c>
      <c r="F43" s="9" t="str">
        <v>2 hilos</v>
      </c>
      <c r="G43" s="9" t="str">
        <v>4 hilos</v>
      </c>
      <c r="H43" s="9" t="str">
        <v>8 hilos</v>
      </c>
      <c r="I43" s="9" t="str">
        <v>12 hilos</v>
      </c>
      <c r="J43" s="9" t="str">
        <v>32 hilos</v>
      </c>
      <c r="K43" s="7"/>
      <c r="L43" s="7"/>
      <c r="M43" s="7"/>
      <c r="N43" s="7"/>
      <c r="O43" s="8"/>
    </row>
    <row r="44" spans="2:15" ht="14.5" customHeight="1" x14ac:dyDescent="0.2">
      <c r="B44" s="5"/>
      <c r="C44" s="48" t="s">
        <v>60</v>
      </c>
      <c r="D44" s="14" t="s">
        <v>59</v>
      </c>
      <c r="E44" s="7" cm="1">
        <f t="array" ref="E44:J44">'Gráficas SpeedUp'!D13:I13</f>
        <v>18866115</v>
      </c>
      <c r="F44" s="7">
        <v>4845888</v>
      </c>
      <c r="G44" s="7">
        <v>4999839</v>
      </c>
      <c r="H44" s="7">
        <v>3574205</v>
      </c>
      <c r="I44" s="7">
        <v>3413305</v>
      </c>
      <c r="J44" s="7">
        <v>3312744</v>
      </c>
      <c r="K44" s="7"/>
      <c r="L44" s="7"/>
      <c r="M44" s="7"/>
      <c r="N44" s="7"/>
      <c r="O44" s="8"/>
    </row>
    <row r="45" spans="2:15" x14ac:dyDescent="0.2">
      <c r="B45" s="5"/>
      <c r="C45" s="48"/>
      <c r="D45" s="14" t="s">
        <v>56</v>
      </c>
      <c r="E45" s="7" cm="1">
        <f t="array" ref="E45:J45">'Gráficas SpeedUp'!D81:I81</f>
        <v>5552857</v>
      </c>
      <c r="F45" s="7">
        <v>1876792</v>
      </c>
      <c r="G45" s="7">
        <v>1319442</v>
      </c>
      <c r="H45" s="7">
        <v>1027725</v>
      </c>
      <c r="I45" s="7">
        <v>1024261</v>
      </c>
      <c r="J45" s="7">
        <v>1010451</v>
      </c>
      <c r="K45" s="7"/>
      <c r="L45" s="7"/>
      <c r="M45" s="7"/>
      <c r="N45" s="7"/>
      <c r="O45" s="8"/>
    </row>
    <row r="46" spans="2:15" x14ac:dyDescent="0.2">
      <c r="B46" s="5"/>
      <c r="C46" s="48"/>
      <c r="D46" s="14" t="s">
        <v>57</v>
      </c>
      <c r="E46" s="7" cm="1">
        <f t="array" ref="E46:J46">'Gráficas SpeedUp'!D149:I149</f>
        <v>19296866</v>
      </c>
      <c r="F46" s="7">
        <v>4816926</v>
      </c>
      <c r="G46" s="7">
        <v>5043147</v>
      </c>
      <c r="H46" s="7">
        <v>3489960</v>
      </c>
      <c r="I46" s="7">
        <v>3333567</v>
      </c>
      <c r="J46" s="7">
        <v>3186980</v>
      </c>
      <c r="K46" s="7"/>
      <c r="L46" s="7"/>
      <c r="M46" s="7"/>
      <c r="N46" s="7"/>
      <c r="O46" s="8"/>
    </row>
    <row r="47" spans="2:15" x14ac:dyDescent="0.2">
      <c r="B47" s="5"/>
      <c r="C47" s="48"/>
      <c r="D47" s="14" t="s">
        <v>58</v>
      </c>
      <c r="E47" s="7" cm="1">
        <f t="array" ref="E47:J47">'Gráficas SpeedUp'!D217:I217</f>
        <v>3112921</v>
      </c>
      <c r="F47" s="7">
        <v>1357761</v>
      </c>
      <c r="G47" s="7">
        <v>779901</v>
      </c>
      <c r="H47" s="7">
        <v>789257</v>
      </c>
      <c r="I47" s="7">
        <v>785743</v>
      </c>
      <c r="J47" s="7">
        <v>776712</v>
      </c>
      <c r="K47" s="7"/>
      <c r="L47" s="7"/>
      <c r="M47" s="7"/>
      <c r="N47" s="7"/>
      <c r="O47" s="8"/>
    </row>
    <row r="48" spans="2:15" x14ac:dyDescent="0.2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spans="2:15" x14ac:dyDescent="0.2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0" spans="2:15" x14ac:dyDescent="0.2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</row>
    <row r="51" spans="2:15" x14ac:dyDescent="0.2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</row>
    <row r="52" spans="2:15" x14ac:dyDescent="0.2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2:15" x14ac:dyDescent="0.2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2:15" x14ac:dyDescent="0.2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2:15" x14ac:dyDescent="0.2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2:15" x14ac:dyDescent="0.2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2:15" x14ac:dyDescent="0.2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 x14ac:dyDescent="0.2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2:15" x14ac:dyDescent="0.2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2:15" x14ac:dyDescent="0.2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2:15" x14ac:dyDescent="0.2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2:15" x14ac:dyDescent="0.2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</row>
    <row r="63" spans="2:15" x14ac:dyDescent="0.2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</row>
    <row r="64" spans="2:15" x14ac:dyDescent="0.2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</row>
    <row r="65" spans="2:15" x14ac:dyDescent="0.2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</row>
    <row r="66" spans="2:15" x14ac:dyDescent="0.2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2:15" x14ac:dyDescent="0.2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2:15" x14ac:dyDescent="0.2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2:15" x14ac:dyDescent="0.2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2:15" x14ac:dyDescent="0.2"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2:15" x14ac:dyDescent="0.2"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2:15" x14ac:dyDescent="0.2"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2:15" x14ac:dyDescent="0.2"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4" spans="2:15" x14ac:dyDescent="0.2"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2:15" ht="16" thickBot="1" x14ac:dyDescent="0.25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8" spans="2:15" ht="16" thickBot="1" x14ac:dyDescent="0.25"/>
    <row r="79" spans="2:15" x14ac:dyDescent="0.2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2:15" ht="37" x14ac:dyDescent="0.45">
      <c r="B80" s="5"/>
      <c r="C80" s="7"/>
      <c r="D80" s="6" t="s">
        <v>62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2:15" x14ac:dyDescent="0.2">
      <c r="B81" s="5"/>
      <c r="C81" s="13"/>
      <c r="D81" s="9" t="str" cm="1">
        <f t="array" ref="D81:J81">'Gráficas SpeedUp'!C144:I144</f>
        <v># Hilos</v>
      </c>
      <c r="E81" s="9" t="str">
        <v>1 hilo</v>
      </c>
      <c r="F81" s="9" t="str">
        <v>2 hilos</v>
      </c>
      <c r="G81" s="9" t="str">
        <v>4 hilos</v>
      </c>
      <c r="H81" s="9" t="str">
        <v>8 hilos</v>
      </c>
      <c r="I81" s="9" t="str">
        <v>12 hilos</v>
      </c>
      <c r="J81" s="9" t="str">
        <v>32 hilos</v>
      </c>
      <c r="K81" s="7"/>
      <c r="L81" s="7"/>
      <c r="M81" s="7"/>
      <c r="N81" s="7"/>
      <c r="O81" s="8"/>
    </row>
    <row r="82" spans="2:15" x14ac:dyDescent="0.2">
      <c r="B82" s="5"/>
      <c r="C82" s="48" t="s">
        <v>60</v>
      </c>
      <c r="D82" s="14" t="s">
        <v>59</v>
      </c>
      <c r="E82" s="7" cm="1">
        <f t="array" ref="E82:J82">'Gráficas SpeedUp'!D16:I16</f>
        <v>142686914</v>
      </c>
      <c r="F82" s="7">
        <v>52084327</v>
      </c>
      <c r="G82" s="7">
        <v>30875411</v>
      </c>
      <c r="H82" s="7">
        <v>31367505</v>
      </c>
      <c r="I82" s="7">
        <v>30590885</v>
      </c>
      <c r="J82" s="7">
        <v>32652943</v>
      </c>
      <c r="K82" s="7"/>
      <c r="L82" s="7"/>
      <c r="M82" s="7"/>
      <c r="N82" s="7"/>
      <c r="O82" s="8"/>
    </row>
    <row r="83" spans="2:15" x14ac:dyDescent="0.2">
      <c r="B83" s="5"/>
      <c r="C83" s="48"/>
      <c r="D83" s="14" t="s">
        <v>56</v>
      </c>
      <c r="E83" s="7" cm="1">
        <f t="array" ref="E83:J83">'Gráficas SpeedUp'!D84:I84</f>
        <v>109510771</v>
      </c>
      <c r="F83" s="7">
        <v>46646802</v>
      </c>
      <c r="G83" s="7">
        <v>27060705</v>
      </c>
      <c r="H83" s="7">
        <v>26061713</v>
      </c>
      <c r="I83" s="7">
        <v>26225596</v>
      </c>
      <c r="J83" s="7">
        <v>26327859</v>
      </c>
      <c r="K83" s="7"/>
      <c r="L83" s="7"/>
      <c r="M83" s="7"/>
      <c r="N83" s="7"/>
      <c r="O83" s="8"/>
    </row>
    <row r="84" spans="2:15" x14ac:dyDescent="0.2">
      <c r="B84" s="5"/>
      <c r="C84" s="48"/>
      <c r="D84" s="14" t="s">
        <v>57</v>
      </c>
      <c r="E84" s="7" cm="1">
        <f t="array" ref="E84:J84">'Gráficas SpeedUp'!D152:I152</f>
        <v>140362046</v>
      </c>
      <c r="F84" s="7">
        <v>51928527</v>
      </c>
      <c r="G84" s="7">
        <v>32586329</v>
      </c>
      <c r="H84" s="7">
        <v>30717681</v>
      </c>
      <c r="I84" s="7">
        <v>30767192</v>
      </c>
      <c r="J84" s="7">
        <v>32496562</v>
      </c>
      <c r="K84" s="7"/>
      <c r="L84" s="7"/>
      <c r="M84" s="7"/>
      <c r="N84" s="7"/>
      <c r="O84" s="8"/>
    </row>
    <row r="85" spans="2:15" x14ac:dyDescent="0.2">
      <c r="B85" s="5"/>
      <c r="C85" s="48"/>
      <c r="D85" s="14" t="s">
        <v>58</v>
      </c>
      <c r="E85" s="7" cm="1">
        <f t="array" ref="E85:J85">'Gráficas SpeedUp'!D220:I220</f>
        <v>25627530</v>
      </c>
      <c r="F85" s="7">
        <v>10972794</v>
      </c>
      <c r="G85" s="7">
        <v>6500271</v>
      </c>
      <c r="H85" s="7">
        <v>6200266</v>
      </c>
      <c r="I85" s="7">
        <v>6296592</v>
      </c>
      <c r="J85" s="7">
        <v>6248905</v>
      </c>
      <c r="K85" s="7"/>
      <c r="L85" s="7"/>
      <c r="M85" s="7"/>
      <c r="N85" s="7"/>
      <c r="O85" s="8"/>
    </row>
    <row r="86" spans="2:15" x14ac:dyDescent="0.2"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2:15" x14ac:dyDescent="0.2"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2:15" x14ac:dyDescent="0.2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2:15" x14ac:dyDescent="0.2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 x14ac:dyDescent="0.2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2:15" x14ac:dyDescent="0.2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</row>
    <row r="92" spans="2:15" x14ac:dyDescent="0.2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</row>
    <row r="93" spans="2:15" x14ac:dyDescent="0.2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2:15" x14ac:dyDescent="0.2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2:15" x14ac:dyDescent="0.2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2:15" x14ac:dyDescent="0.2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2:15" x14ac:dyDescent="0.2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2:15" x14ac:dyDescent="0.2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2:15" x14ac:dyDescent="0.2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</row>
    <row r="100" spans="2:15" x14ac:dyDescent="0.2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</row>
    <row r="101" spans="2:15" x14ac:dyDescent="0.2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2:15" x14ac:dyDescent="0.2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2:15" x14ac:dyDescent="0.2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2:15" x14ac:dyDescent="0.2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2:15" x14ac:dyDescent="0.2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</row>
    <row r="106" spans="2:15" x14ac:dyDescent="0.2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</row>
    <row r="107" spans="2:15" x14ac:dyDescent="0.2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</row>
    <row r="108" spans="2:15" x14ac:dyDescent="0.2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</row>
    <row r="109" spans="2:15" x14ac:dyDescent="0.2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</row>
    <row r="110" spans="2:15" x14ac:dyDescent="0.2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spans="2:15" x14ac:dyDescent="0.2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</row>
    <row r="112" spans="2:15" x14ac:dyDescent="0.2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 spans="2:15" ht="16" thickBot="1" x14ac:dyDescent="0.25"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</row>
    <row r="116" spans="2:15" ht="16" thickBot="1" x14ac:dyDescent="0.25"/>
    <row r="117" spans="2:15" x14ac:dyDescent="0.2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</row>
    <row r="118" spans="2:15" ht="37" x14ac:dyDescent="0.45">
      <c r="B118" s="5"/>
      <c r="C118" s="7"/>
      <c r="D118" s="6" t="s">
        <v>63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</row>
    <row r="119" spans="2:15" x14ac:dyDescent="0.2">
      <c r="B119" s="5"/>
      <c r="C119" s="13"/>
      <c r="D119" s="9" t="str" cm="1">
        <f t="array" ref="D119:J119">'Gráficas SpeedUp'!C212:I212</f>
        <v># Hilos</v>
      </c>
      <c r="E119" s="9" t="str">
        <v>1 hilo</v>
      </c>
      <c r="F119" s="9" t="str">
        <v>2 hilos</v>
      </c>
      <c r="G119" s="9" t="str">
        <v>4 hilos</v>
      </c>
      <c r="H119" s="9" t="str">
        <v>8 hilos</v>
      </c>
      <c r="I119" s="9" t="str">
        <v>12 hilos</v>
      </c>
      <c r="J119" s="9" t="str">
        <v>32 hilos</v>
      </c>
      <c r="K119" s="7"/>
      <c r="L119" s="7"/>
      <c r="M119" s="7"/>
      <c r="N119" s="7"/>
      <c r="O119" s="8"/>
    </row>
    <row r="120" spans="2:15" x14ac:dyDescent="0.2">
      <c r="B120" s="5"/>
      <c r="C120" s="48" t="s">
        <v>60</v>
      </c>
      <c r="D120" s="14" t="s">
        <v>59</v>
      </c>
      <c r="E120" s="7" cm="1">
        <f t="array" ref="E120:J120">'Gráficas SpeedUp'!D19:I19</f>
        <v>1417072687</v>
      </c>
      <c r="F120" s="7">
        <v>626938935</v>
      </c>
      <c r="G120" s="7">
        <v>324853031</v>
      </c>
      <c r="H120" s="7">
        <v>330485672</v>
      </c>
      <c r="I120" s="7">
        <v>357459778</v>
      </c>
      <c r="J120" s="7">
        <v>350316900</v>
      </c>
      <c r="K120" s="7"/>
      <c r="L120" s="7"/>
      <c r="M120" s="7"/>
      <c r="N120" s="7"/>
      <c r="O120" s="8"/>
    </row>
    <row r="121" spans="2:15" x14ac:dyDescent="0.2">
      <c r="B121" s="5"/>
      <c r="C121" s="48"/>
      <c r="D121" s="14" t="s">
        <v>56</v>
      </c>
      <c r="E121" s="7" cm="1">
        <f t="array" ref="E121:J121">'Gráficas SpeedUp'!D87:I87</f>
        <v>1347066254</v>
      </c>
      <c r="F121" s="7">
        <v>604985583</v>
      </c>
      <c r="G121" s="7">
        <v>314976590</v>
      </c>
      <c r="H121" s="7">
        <v>315874224</v>
      </c>
      <c r="I121" s="7">
        <v>328402385</v>
      </c>
      <c r="J121" s="7">
        <v>320410342</v>
      </c>
      <c r="K121" s="7"/>
      <c r="L121" s="7"/>
      <c r="M121" s="7"/>
      <c r="N121" s="7"/>
      <c r="O121" s="8"/>
    </row>
    <row r="122" spans="2:15" x14ac:dyDescent="0.2">
      <c r="B122" s="5"/>
      <c r="C122" s="48"/>
      <c r="D122" s="14" t="s">
        <v>57</v>
      </c>
      <c r="E122" s="7" cm="1">
        <f t="array" ref="E122:J122">'Gráficas SpeedUp'!D155:I155</f>
        <v>1402087847</v>
      </c>
      <c r="F122" s="7">
        <v>630433843</v>
      </c>
      <c r="G122" s="7">
        <v>324571995</v>
      </c>
      <c r="H122" s="7">
        <v>324818471</v>
      </c>
      <c r="I122" s="7">
        <v>345388720</v>
      </c>
      <c r="J122" s="7">
        <v>343197854</v>
      </c>
      <c r="K122" s="7"/>
      <c r="L122" s="7"/>
      <c r="M122" s="7"/>
      <c r="N122" s="7"/>
      <c r="O122" s="8"/>
    </row>
    <row r="123" spans="2:15" x14ac:dyDescent="0.2">
      <c r="B123" s="5"/>
      <c r="C123" s="48"/>
      <c r="D123" s="14" t="s">
        <v>58</v>
      </c>
      <c r="E123" s="7" cm="1">
        <f t="array" ref="E123:J123">'Gráficas SpeedUp'!D223:I223</f>
        <v>175278974</v>
      </c>
      <c r="F123" s="7">
        <v>82907595</v>
      </c>
      <c r="G123" s="7">
        <v>44461919</v>
      </c>
      <c r="H123" s="7">
        <v>42669400</v>
      </c>
      <c r="I123" s="7">
        <v>43366671</v>
      </c>
      <c r="J123" s="7">
        <v>41945210</v>
      </c>
      <c r="K123" s="7"/>
      <c r="L123" s="7"/>
      <c r="M123" s="7"/>
      <c r="N123" s="7"/>
      <c r="O123" s="8"/>
    </row>
    <row r="124" spans="2:15" x14ac:dyDescent="0.2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</row>
    <row r="125" spans="2:15" x14ac:dyDescent="0.2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</row>
    <row r="126" spans="2:15" x14ac:dyDescent="0.2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</row>
    <row r="127" spans="2:15" x14ac:dyDescent="0.2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</row>
    <row r="128" spans="2:15" x14ac:dyDescent="0.2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</row>
    <row r="129" spans="2:15" x14ac:dyDescent="0.2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</row>
    <row r="130" spans="2:15" x14ac:dyDescent="0.2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</row>
    <row r="131" spans="2:15" x14ac:dyDescent="0.2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</row>
    <row r="132" spans="2:15" x14ac:dyDescent="0.2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2:15" x14ac:dyDescent="0.2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</row>
    <row r="134" spans="2:15" x14ac:dyDescent="0.2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</row>
    <row r="135" spans="2:15" x14ac:dyDescent="0.2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</row>
    <row r="136" spans="2:15" x14ac:dyDescent="0.2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</row>
    <row r="137" spans="2:15" x14ac:dyDescent="0.2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</row>
    <row r="138" spans="2:15" x14ac:dyDescent="0.2"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2:15" x14ac:dyDescent="0.2"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2:15" x14ac:dyDescent="0.2"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2:15" x14ac:dyDescent="0.2"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2:15" x14ac:dyDescent="0.2"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2:15" x14ac:dyDescent="0.2"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2:15" x14ac:dyDescent="0.2"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2:15" x14ac:dyDescent="0.2"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2:15" x14ac:dyDescent="0.2"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2:15" x14ac:dyDescent="0.2"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2:15" x14ac:dyDescent="0.2"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2:15" x14ac:dyDescent="0.2"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2:15" x14ac:dyDescent="0.2"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2:15" ht="16" thickBot="1" x14ac:dyDescent="0.25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</row>
  </sheetData>
  <mergeCells count="4">
    <mergeCell ref="C120:C123"/>
    <mergeCell ref="C6:C9"/>
    <mergeCell ref="C44:C47"/>
    <mergeCell ref="C82:C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Ramirez Vargas</dc:creator>
  <cp:lastModifiedBy>Juan David Daza Caro</cp:lastModifiedBy>
  <dcterms:created xsi:type="dcterms:W3CDTF">2025-11-03T08:10:09Z</dcterms:created>
  <dcterms:modified xsi:type="dcterms:W3CDTF">2025-11-09T18:22:40Z</dcterms:modified>
</cp:coreProperties>
</file>