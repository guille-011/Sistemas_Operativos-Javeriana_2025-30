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r\Downloads\"/>
    </mc:Choice>
  </mc:AlternateContent>
  <xr:revisionPtr revIDLastSave="0" documentId="13_ncr:1_{46ABD53B-59D1-44ED-A8DB-1A437C2A4B94}" xr6:coauthVersionLast="47" xr6:coauthVersionMax="47" xr10:uidLastSave="{00000000-0000-0000-0000-000000000000}"/>
  <bookViews>
    <workbookView xWindow="-110" yWindow="-110" windowWidth="25820" windowHeight="15500" activeTab="2" xr2:uid="{6FBAE34B-A4D4-4AE5-8E06-5619365ACB10}"/>
  </bookViews>
  <sheets>
    <sheet name="Información completa" sheetId="1" r:id="rId1"/>
    <sheet name="Gráficas SpeedUp" sheetId="2" r:id="rId2"/>
    <sheet name="Gráficas Tiem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3" l="1" a="1"/>
  <c r="E123" i="3" s="1"/>
  <c r="E122" i="3" a="1"/>
  <c r="E122" i="3" s="1"/>
  <c r="E121" i="3" a="1"/>
  <c r="E121" i="3" s="1"/>
  <c r="E120" i="3" a="1"/>
  <c r="E120" i="3" s="1"/>
  <c r="E85" i="3" a="1"/>
  <c r="E85" i="3" s="1"/>
  <c r="E84" i="3" a="1"/>
  <c r="E84" i="3" s="1"/>
  <c r="E83" i="3" a="1"/>
  <c r="E83" i="3" s="1"/>
  <c r="E82" i="3" a="1"/>
  <c r="E82" i="3" s="1"/>
  <c r="E47" i="3" a="1"/>
  <c r="E47" i="3" s="1"/>
  <c r="E46" i="3" a="1"/>
  <c r="E46" i="3" s="1"/>
  <c r="E45" i="3" a="1"/>
  <c r="E45" i="3" s="1"/>
  <c r="E44" i="3" a="1"/>
  <c r="E44" i="3" s="1"/>
  <c r="D119" i="3" a="1"/>
  <c r="D119" i="3" s="1"/>
  <c r="D81" i="3" a="1"/>
  <c r="D81" i="3" s="1"/>
  <c r="D43" i="3" a="1"/>
  <c r="D43" i="3" s="1"/>
  <c r="D5" i="3" a="1"/>
  <c r="D5" i="3" s="1"/>
  <c r="E9" i="3" a="1"/>
  <c r="E9" i="3" s="1"/>
  <c r="E8" i="3" a="1"/>
  <c r="E8" i="3" s="1"/>
  <c r="E7" i="3" a="1"/>
  <c r="E7" i="3" s="1"/>
  <c r="E6" i="3" a="1"/>
  <c r="E6" i="3" s="1"/>
  <c r="R213" i="2"/>
  <c r="N213" i="2"/>
  <c r="E223" i="2"/>
  <c r="E222" i="2" s="1"/>
  <c r="F223" i="2"/>
  <c r="G223" i="2"/>
  <c r="H223" i="2"/>
  <c r="I223" i="2"/>
  <c r="D223" i="2"/>
  <c r="E220" i="2"/>
  <c r="F220" i="2"/>
  <c r="G220" i="2"/>
  <c r="G219" i="2" s="1"/>
  <c r="H220" i="2"/>
  <c r="I220" i="2"/>
  <c r="D220" i="2"/>
  <c r="E217" i="2"/>
  <c r="E216" i="2" s="1"/>
  <c r="F217" i="2"/>
  <c r="G217" i="2"/>
  <c r="H217" i="2"/>
  <c r="H216" i="2" s="1"/>
  <c r="I217" i="2"/>
  <c r="I216" i="2" s="1"/>
  <c r="D217" i="2"/>
  <c r="E214" i="2"/>
  <c r="F214" i="2"/>
  <c r="G214" i="2"/>
  <c r="H214" i="2"/>
  <c r="I214" i="2"/>
  <c r="D214" i="2"/>
  <c r="G213" i="2" s="1"/>
  <c r="I222" i="2"/>
  <c r="H222" i="2"/>
  <c r="G222" i="2"/>
  <c r="F222" i="2"/>
  <c r="I219" i="2"/>
  <c r="H219" i="2"/>
  <c r="F219" i="2"/>
  <c r="E219" i="2"/>
  <c r="G216" i="2"/>
  <c r="F216" i="2"/>
  <c r="M213" i="2"/>
  <c r="N145" i="2"/>
  <c r="E155" i="2"/>
  <c r="E154" i="2" s="1"/>
  <c r="F155" i="2"/>
  <c r="G155" i="2"/>
  <c r="H155" i="2"/>
  <c r="I155" i="2"/>
  <c r="D155" i="2"/>
  <c r="E152" i="2"/>
  <c r="F152" i="2"/>
  <c r="F151" i="2" s="1"/>
  <c r="G152" i="2"/>
  <c r="H152" i="2"/>
  <c r="I152" i="2"/>
  <c r="D152" i="2"/>
  <c r="E151" i="2" s="1"/>
  <c r="E149" i="2"/>
  <c r="F149" i="2"/>
  <c r="G149" i="2"/>
  <c r="H149" i="2"/>
  <c r="I149" i="2"/>
  <c r="D149" i="2"/>
  <c r="H148" i="2" s="1"/>
  <c r="E146" i="2"/>
  <c r="F146" i="2"/>
  <c r="G146" i="2"/>
  <c r="H146" i="2"/>
  <c r="I146" i="2"/>
  <c r="D146" i="2"/>
  <c r="I154" i="2"/>
  <c r="H154" i="2"/>
  <c r="G154" i="2"/>
  <c r="F154" i="2"/>
  <c r="I151" i="2"/>
  <c r="H151" i="2"/>
  <c r="G151" i="2"/>
  <c r="M145" i="2"/>
  <c r="R77" i="2"/>
  <c r="I86" i="2"/>
  <c r="I83" i="2"/>
  <c r="I80" i="2"/>
  <c r="E77" i="2"/>
  <c r="N77" i="2"/>
  <c r="E87" i="2"/>
  <c r="F87" i="2"/>
  <c r="G87" i="2"/>
  <c r="H87" i="2"/>
  <c r="I87" i="2"/>
  <c r="D87" i="2"/>
  <c r="E84" i="2"/>
  <c r="F84" i="2"/>
  <c r="F83" i="2" s="1"/>
  <c r="G84" i="2"/>
  <c r="H84" i="2"/>
  <c r="I84" i="2"/>
  <c r="D84" i="2"/>
  <c r="E81" i="2"/>
  <c r="F81" i="2"/>
  <c r="G81" i="2"/>
  <c r="H81" i="2"/>
  <c r="H80" i="2" s="1"/>
  <c r="I81" i="2"/>
  <c r="D81" i="2"/>
  <c r="E78" i="2"/>
  <c r="F78" i="2"/>
  <c r="G78" i="2"/>
  <c r="G77" i="2" s="1"/>
  <c r="H78" i="2"/>
  <c r="I78" i="2"/>
  <c r="D78" i="2"/>
  <c r="H86" i="2"/>
  <c r="G86" i="2"/>
  <c r="F86" i="2"/>
  <c r="E86" i="2"/>
  <c r="H83" i="2"/>
  <c r="G83" i="2"/>
  <c r="E83" i="2"/>
  <c r="E80" i="2"/>
  <c r="G80" i="2"/>
  <c r="F80" i="2"/>
  <c r="M77" i="2"/>
  <c r="R9" i="2"/>
  <c r="Q9" i="2"/>
  <c r="P9" i="2"/>
  <c r="O9" i="2"/>
  <c r="N9" i="2"/>
  <c r="M9" i="2"/>
  <c r="I18" i="2"/>
  <c r="H18" i="2"/>
  <c r="G18" i="2"/>
  <c r="F18" i="2"/>
  <c r="E18" i="2"/>
  <c r="E19" i="2"/>
  <c r="F19" i="2"/>
  <c r="G19" i="2"/>
  <c r="H19" i="2"/>
  <c r="I19" i="2"/>
  <c r="D19" i="2"/>
  <c r="I15" i="2"/>
  <c r="H15" i="2"/>
  <c r="G15" i="2"/>
  <c r="F15" i="2"/>
  <c r="E15" i="2"/>
  <c r="E16" i="2"/>
  <c r="F16" i="2"/>
  <c r="G16" i="2"/>
  <c r="H16" i="2"/>
  <c r="I16" i="2"/>
  <c r="D16" i="2"/>
  <c r="F12" i="2"/>
  <c r="G12" i="2"/>
  <c r="H12" i="2"/>
  <c r="I12" i="2"/>
  <c r="E12" i="2"/>
  <c r="E9" i="2"/>
  <c r="E13" i="2"/>
  <c r="F13" i="2"/>
  <c r="G13" i="2"/>
  <c r="H13" i="2"/>
  <c r="I13" i="2"/>
  <c r="D13" i="2"/>
  <c r="F9" i="2"/>
  <c r="G9" i="2"/>
  <c r="H9" i="2"/>
  <c r="I9" i="2"/>
  <c r="I10" i="2"/>
  <c r="H10" i="2"/>
  <c r="G10" i="2"/>
  <c r="F10" i="2"/>
  <c r="E10" i="2"/>
  <c r="D10" i="2"/>
  <c r="X35" i="1" a="1"/>
  <c r="X35" i="1" s="1"/>
  <c r="O35" i="1" a="1"/>
  <c r="O35" i="1" s="1"/>
  <c r="E35" i="1" a="1"/>
  <c r="E35" i="1" s="1"/>
  <c r="E143" i="1" a="1"/>
  <c r="E143" i="1" s="1"/>
  <c r="N143" i="1" a="1"/>
  <c r="N143" i="1" s="1"/>
  <c r="W143" i="1" a="1"/>
  <c r="W143" i="1" s="1"/>
  <c r="Z143" i="1" a="1"/>
  <c r="Z143" i="1" s="1"/>
  <c r="Z107" i="1" a="1"/>
  <c r="Z107" i="1" s="1"/>
  <c r="E107" i="1" a="1"/>
  <c r="E107" i="1" s="1"/>
  <c r="Q107" i="1" a="1"/>
  <c r="Q107" i="1" s="1"/>
  <c r="R71" i="1" a="1"/>
  <c r="R71" i="1" s="1"/>
  <c r="F71" i="1" a="1"/>
  <c r="F71" i="1" s="1"/>
  <c r="E71" i="1" a="1"/>
  <c r="E71" i="1" s="1"/>
  <c r="AH143" i="1" a="1"/>
  <c r="AH143" i="1" s="1"/>
  <c r="AG143" i="1" a="1"/>
  <c r="AG143" i="1" s="1"/>
  <c r="AF143" i="1" a="1"/>
  <c r="AF143" i="1" s="1"/>
  <c r="AE143" i="1" a="1"/>
  <c r="AE143" i="1" s="1"/>
  <c r="AD143" i="1" a="1"/>
  <c r="AD143" i="1" s="1"/>
  <c r="AC143" i="1" a="1"/>
  <c r="AC143" i="1" s="1"/>
  <c r="Y143" i="1" a="1"/>
  <c r="Y143" i="1" s="1"/>
  <c r="X143" i="1" a="1"/>
  <c r="X143" i="1" s="1"/>
  <c r="V143" i="1" a="1"/>
  <c r="V143" i="1" s="1"/>
  <c r="U143" i="1" a="1"/>
  <c r="U143" i="1" s="1"/>
  <c r="R143" i="1" a="1"/>
  <c r="R143" i="1" s="1"/>
  <c r="Q143" i="1" a="1"/>
  <c r="Q143" i="1" s="1"/>
  <c r="P143" i="1" a="1"/>
  <c r="P143" i="1" s="1"/>
  <c r="O143" i="1" a="1"/>
  <c r="O143" i="1" s="1"/>
  <c r="M143" i="1" a="1"/>
  <c r="M143" i="1" s="1"/>
  <c r="J143" i="1" a="1"/>
  <c r="J143" i="1" s="1"/>
  <c r="I143" i="1" a="1"/>
  <c r="I143" i="1" s="1"/>
  <c r="H143" i="1" a="1"/>
  <c r="H143" i="1" s="1"/>
  <c r="G143" i="1" a="1"/>
  <c r="G143" i="1" s="1"/>
  <c r="F143" i="1" a="1"/>
  <c r="F143" i="1" s="1"/>
  <c r="AH107" i="1" a="1"/>
  <c r="AH107" i="1" s="1"/>
  <c r="AG107" i="1" a="1"/>
  <c r="AG107" i="1" s="1"/>
  <c r="AF107" i="1" a="1"/>
  <c r="AF107" i="1" s="1"/>
  <c r="AE107" i="1" a="1"/>
  <c r="AE107" i="1" s="1"/>
  <c r="AD107" i="1" a="1"/>
  <c r="AD107" i="1" s="1"/>
  <c r="AC107" i="1" a="1"/>
  <c r="AC107" i="1" s="1"/>
  <c r="Y107" i="1" a="1"/>
  <c r="Y107" i="1" s="1"/>
  <c r="X107" i="1" a="1"/>
  <c r="X107" i="1" s="1"/>
  <c r="W107" i="1" a="1"/>
  <c r="W107" i="1" s="1"/>
  <c r="V107" i="1" a="1"/>
  <c r="V107" i="1" s="1"/>
  <c r="U107" i="1" a="1"/>
  <c r="U107" i="1" s="1"/>
  <c r="R107" i="1" a="1"/>
  <c r="R107" i="1" s="1"/>
  <c r="P107" i="1" a="1"/>
  <c r="P107" i="1" s="1"/>
  <c r="O107" i="1" a="1"/>
  <c r="O107" i="1" s="1"/>
  <c r="N107" i="1" a="1"/>
  <c r="N107" i="1" s="1"/>
  <c r="M107" i="1" a="1"/>
  <c r="M107" i="1" s="1"/>
  <c r="J107" i="1" a="1"/>
  <c r="J107" i="1" s="1"/>
  <c r="I107" i="1" a="1"/>
  <c r="I107" i="1" s="1"/>
  <c r="H107" i="1" a="1"/>
  <c r="H107" i="1" s="1"/>
  <c r="G107" i="1" a="1"/>
  <c r="G107" i="1" s="1"/>
  <c r="F107" i="1" a="1"/>
  <c r="F107" i="1" s="1"/>
  <c r="AH71" i="1" a="1"/>
  <c r="AH71" i="1" s="1"/>
  <c r="AG71" i="1" a="1"/>
  <c r="AG71" i="1" s="1"/>
  <c r="AF71" i="1" a="1"/>
  <c r="AF71" i="1" s="1"/>
  <c r="AE71" i="1" a="1"/>
  <c r="AE71" i="1" s="1"/>
  <c r="AD71" i="1" a="1"/>
  <c r="AD71" i="1" s="1"/>
  <c r="AC71" i="1" a="1"/>
  <c r="AC71" i="1" s="1"/>
  <c r="Z71" i="1" a="1"/>
  <c r="Z71" i="1" s="1"/>
  <c r="Y71" i="1" a="1"/>
  <c r="Y71" i="1" s="1"/>
  <c r="X71" i="1" a="1"/>
  <c r="X71" i="1" s="1"/>
  <c r="W71" i="1" a="1"/>
  <c r="W71" i="1" s="1"/>
  <c r="V71" i="1" a="1"/>
  <c r="V71" i="1" s="1"/>
  <c r="U71" i="1" a="1"/>
  <c r="U71" i="1" s="1"/>
  <c r="Q71" i="1" a="1"/>
  <c r="Q71" i="1" s="1"/>
  <c r="P71" i="1" a="1"/>
  <c r="P71" i="1" s="1"/>
  <c r="O71" i="1" a="1"/>
  <c r="O71" i="1" s="1"/>
  <c r="N71" i="1" a="1"/>
  <c r="N71" i="1" s="1"/>
  <c r="M71" i="1" a="1"/>
  <c r="M71" i="1" s="1"/>
  <c r="J71" i="1" a="1"/>
  <c r="J71" i="1" s="1"/>
  <c r="I71" i="1" a="1"/>
  <c r="I71" i="1" s="1"/>
  <c r="H71" i="1" a="1"/>
  <c r="H71" i="1" s="1"/>
  <c r="G71" i="1" a="1"/>
  <c r="G71" i="1" s="1"/>
  <c r="F35" i="1" a="1"/>
  <c r="F35" i="1" s="1"/>
  <c r="G35" i="1" a="1"/>
  <c r="G35" i="1" s="1"/>
  <c r="H35" i="1" a="1"/>
  <c r="H35" i="1" s="1"/>
  <c r="I35" i="1" a="1"/>
  <c r="I35" i="1" s="1"/>
  <c r="J35" i="1" a="1"/>
  <c r="J35" i="1" s="1"/>
  <c r="M35" i="1" a="1"/>
  <c r="M35" i="1" s="1"/>
  <c r="N35" i="1" a="1"/>
  <c r="N35" i="1" s="1"/>
  <c r="P35" i="1" a="1"/>
  <c r="P35" i="1" s="1"/>
  <c r="Q35" i="1" a="1"/>
  <c r="Q35" i="1" s="1"/>
  <c r="R35" i="1" a="1"/>
  <c r="R35" i="1" s="1"/>
  <c r="U35" i="1" a="1"/>
  <c r="U35" i="1" s="1"/>
  <c r="V35" i="1" a="1"/>
  <c r="V35" i="1" s="1"/>
  <c r="W35" i="1" a="1"/>
  <c r="W35" i="1" s="1"/>
  <c r="Y35" i="1" a="1"/>
  <c r="Y35" i="1" s="1"/>
  <c r="Z35" i="1" a="1"/>
  <c r="Z35" i="1" s="1"/>
  <c r="AC35" i="1" a="1"/>
  <c r="AC35" i="1" s="1"/>
  <c r="AD35" i="1" a="1"/>
  <c r="AD35" i="1" s="1"/>
  <c r="AE35" i="1" a="1"/>
  <c r="AE35" i="1" s="1"/>
  <c r="AF35" i="1" a="1"/>
  <c r="AF35" i="1" s="1"/>
  <c r="AG35" i="1" a="1"/>
  <c r="AG35" i="1" s="1"/>
  <c r="AH35" i="1" a="1"/>
  <c r="AH35" i="1" s="1"/>
  <c r="P213" i="2" l="1"/>
  <c r="I213" i="2"/>
  <c r="F213" i="2"/>
  <c r="O213" i="2" s="1"/>
  <c r="H213" i="2"/>
  <c r="Q213" i="2" s="1"/>
  <c r="E213" i="2"/>
  <c r="I148" i="2"/>
  <c r="F148" i="2"/>
  <c r="G148" i="2"/>
  <c r="E148" i="2"/>
  <c r="H145" i="2"/>
  <c r="Q145" i="2" s="1"/>
  <c r="E145" i="2"/>
  <c r="G145" i="2"/>
  <c r="P145" i="2" s="1"/>
  <c r="I145" i="2"/>
  <c r="F145" i="2"/>
  <c r="H77" i="2"/>
  <c r="Q77" i="2" s="1"/>
  <c r="I77" i="2"/>
  <c r="P77" i="2"/>
  <c r="F77" i="2"/>
  <c r="O77" i="2" s="1"/>
  <c r="O145" i="2" l="1"/>
  <c r="R1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<sst xmlns="http://schemas.openxmlformats.org/spreadsheetml/2006/main" count="444" uniqueCount="64">
  <si>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</si>
  <si>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</si>
  <si>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</si>
  <si>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</si>
  <si>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</si>
  <si>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</si>
  <si>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</si>
  <si>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</si>
  <si>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2400 x 2400</t>
  </si>
  <si>
    <t>MATRIZ 4800 x 4800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</si>
  <si>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</si>
  <si>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</si>
  <si>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</si>
  <si>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</si>
  <si>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</si>
  <si>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</si>
  <si>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</si>
  <si>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</si>
  <si>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</si>
  <si>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</si>
  <si>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</si>
  <si>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</si>
  <si>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</si>
  <si>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</si>
  <si>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</si>
  <si>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</si>
  <si>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</si>
  <si>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</si>
  <si>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</si>
  <si>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</si>
  <si>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</si>
  <si>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</si>
  <si>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</si>
  <si>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</si>
  <si>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</si>
  <si>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</si>
  <si>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</si>
  <si>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</si>
  <si>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</si>
  <si>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</si>
  <si>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CLÁSICA FORK (tiempos en microsegundos)</t>
  </si>
  <si>
    <t>CLÁSICA OPENMP (tiempos en microsegundos)</t>
  </si>
  <si>
    <t>CLÁSICA POSIX (tiempos en microsegundos)</t>
  </si>
  <si>
    <t>FILAS OPENMP (tiempos en microsegundos)</t>
  </si>
  <si>
    <t>PROMEDIO</t>
  </si>
  <si>
    <t># Hilos</t>
  </si>
  <si>
    <t>Promedio Matrices 600 x 600</t>
  </si>
  <si>
    <t>Promedio Matrices 1200 x 1200</t>
  </si>
  <si>
    <t>Promedio Matrices 2400 x 2400</t>
  </si>
  <si>
    <t>Promedio Matrices 4800 x 4800</t>
  </si>
  <si>
    <t>SpeedUp Matrices 600 x 600</t>
  </si>
  <si>
    <t>SpeedUp Matrices 1200 x 1200</t>
  </si>
  <si>
    <t>SpeedUp Matrices 2400 x 2400</t>
  </si>
  <si>
    <t>SpeedUp Matrices 4800 x 4800</t>
  </si>
  <si>
    <t>Speed Up Promedio</t>
  </si>
  <si>
    <t>MATRICES 600 X 600</t>
  </si>
  <si>
    <t>Clásica OpenMP</t>
  </si>
  <si>
    <t>Clásica POSIX</t>
  </si>
  <si>
    <t>Filas OpenMP</t>
  </si>
  <si>
    <t>Clásica Fork</t>
  </si>
  <si>
    <t>Algoritmo</t>
  </si>
  <si>
    <t>MATRICES 1200 X 1200</t>
  </si>
  <si>
    <t>MATRICES 2400 X 2400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</si>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</sst>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5" fillId="2" borderId="0" xfId="0" applyFont="1" applyFill="1"/>
    <xf numFmtId="0" fontId="0" fillId="2" borderId="0" xfId="0" applyFill="1"/>
    <xf numFmtId="0" fontId="0" fillId="2" borderId="20" xfId="0" applyFill="1" applyBorder="1"/>
    <xf numFmtId="0" fontId="4" fillId="2" borderId="0" xfId="0" applyFont="1" applyFill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0" xfId="0" applyFill="1" applyAlignment="1">
      <alignment textRotation="45"/>
    </xf>
    <xf numFmtId="0" fontId="1" fillId="2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4" xfId="0" applyFont="1" applyFill="1" applyBorder="1"/>
    <xf numFmtId="0" fontId="3" fillId="3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6" fillId="0" borderId="0" xfId="0" applyFont="1"/>
    <xf numFmtId="0" fontId="5" fillId="3" borderId="1" xfId="0" applyFont="1" applyFill="1" applyBorder="1"/>
    <xf numFmtId="0" fontId="4" fillId="3" borderId="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7" fillId="3" borderId="14" xfId="0" applyFont="1" applyFill="1" applyBorder="1"/>
    <xf numFmtId="0" fontId="4" fillId="3" borderId="7" xfId="0" applyFont="1" applyFill="1" applyBorder="1"/>
    <xf numFmtId="0" fontId="7" fillId="3" borderId="2" xfId="0" applyFont="1" applyFill="1" applyBorder="1"/>
    <xf numFmtId="0" fontId="7" fillId="3" borderId="0" xfId="0" applyFont="1" applyFill="1"/>
    <xf numFmtId="0" fontId="0" fillId="3" borderId="24" xfId="0" applyFill="1" applyBorder="1"/>
    <xf numFmtId="0" fontId="4" fillId="3" borderId="0" xfId="0" applyFont="1" applyFill="1"/>
    <xf numFmtId="0" fontId="0" fillId="3" borderId="25" xfId="0" applyFill="1" applyBorder="1"/>
    <xf numFmtId="0" fontId="4" fillId="3" borderId="9" xfId="0" applyFont="1" applyFill="1" applyBorder="1" applyAlignment="1">
      <alignment horizontal="right"/>
    </xf>
    <xf numFmtId="0" fontId="8" fillId="2" borderId="0" xfId="0" applyFont="1" applyFill="1"/>
    <xf numFmtId="0" fontId="4" fillId="3" borderId="10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1.7864671020857688</c:v>
                </c:pt>
                <c:pt idx="2">
                  <c:v>2.4451858029839681</c:v>
                </c:pt>
                <c:pt idx="3">
                  <c:v>2.7396188801749854</c:v>
                </c:pt>
                <c:pt idx="4">
                  <c:v>3.599792629242915</c:v>
                </c:pt>
                <c:pt idx="5">
                  <c:v>3.6148836869457206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E56-B12B-718382CB6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1.9726805090686492</c:v>
                </c:pt>
                <c:pt idx="2">
                  <c:v>3.3640604648757475</c:v>
                </c:pt>
                <c:pt idx="3">
                  <c:v>5.1827766125386319</c:v>
                </c:pt>
                <c:pt idx="4">
                  <c:v>6.3655450519541406</c:v>
                </c:pt>
                <c:pt idx="5">
                  <c:v>10.191969393332119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E5A-8B97-278A9D7180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1.9050011538935621</c:v>
                </c:pt>
                <c:pt idx="2">
                  <c:v>3.6542831952795809</c:v>
                </c:pt>
                <c:pt idx="3">
                  <c:v>6.1977887337139412</c:v>
                </c:pt>
                <c:pt idx="4">
                  <c:v>5.8976425068371023</c:v>
                </c:pt>
                <c:pt idx="5">
                  <c:v>8.8050572792792217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5-40FE-8793-FF53A49F6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2.8297045408419526</c:v>
                </c:pt>
                <c:pt idx="2">
                  <c:v>5.4617259121878332</c:v>
                </c:pt>
                <c:pt idx="3">
                  <c:v>9.2578492927132476</c:v>
                </c:pt>
                <c:pt idx="4">
                  <c:v>8.5618942884269966</c:v>
                </c:pt>
                <c:pt idx="5">
                  <c:v>12.430366293900175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E-4F08-96FF-56B6774F0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2.1234633264724834</c:v>
                </c:pt>
                <c:pt idx="3">
                  <c:v>3.7313138438317823</c:v>
                </c:pt>
                <c:pt idx="4">
                  <c:v>5.8445083797852018</c:v>
                </c:pt>
                <c:pt idx="5">
                  <c:v>6.106218619115289</c:v>
                </c:pt>
                <c:pt idx="6">
                  <c:v>8.760569163364309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DD0-8A09-0B45463C5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1.5890560847001938</c:v>
                </c:pt>
                <c:pt idx="2">
                  <c:v>2.0582979010595936</c:v>
                </c:pt>
                <c:pt idx="3">
                  <c:v>2.8302121420219382</c:v>
                </c:pt>
                <c:pt idx="4">
                  <c:v>2.9325935612908189</c:v>
                </c:pt>
                <c:pt idx="5">
                  <c:v>6.1846609344581438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D75-9A6A-C379E8DEB3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1.8089362276451022</c:v>
                </c:pt>
                <c:pt idx="2">
                  <c:v>3.216904983445505</c:v>
                </c:pt>
                <c:pt idx="3">
                  <c:v>4.4428036907875619</c:v>
                </c:pt>
                <c:pt idx="4">
                  <c:v>5.540271800679502</c:v>
                </c:pt>
                <c:pt idx="5">
                  <c:v>4.9700399264459367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6-47C6-B59A-19AE844D26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1.6864133804466173</c:v>
                </c:pt>
                <c:pt idx="2">
                  <c:v>3.5155039830596198</c:v>
                </c:pt>
                <c:pt idx="3">
                  <c:v>5.8819507590126321</c:v>
                </c:pt>
                <c:pt idx="4">
                  <c:v>5.765392447825711</c:v>
                </c:pt>
                <c:pt idx="5">
                  <c:v>7.1296785242992904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223-8B36-EC2F6F367B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3.5499167195372738</c:v>
                </c:pt>
                <c:pt idx="2">
                  <c:v>7.03446890535053</c:v>
                </c:pt>
                <c:pt idx="3">
                  <c:v>10.935943334848808</c:v>
                </c:pt>
                <c:pt idx="4">
                  <c:v>11.486964388084058</c:v>
                </c:pt>
                <c:pt idx="5">
                  <c:v>16.875702159656928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D-4D41-AE8B-1F91F9DCA0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2.1585806030822967</c:v>
                </c:pt>
                <c:pt idx="3">
                  <c:v>3.956293943228812</c:v>
                </c:pt>
                <c:pt idx="4">
                  <c:v>6.0227274816677348</c:v>
                </c:pt>
                <c:pt idx="5">
                  <c:v>6.4313055494700224</c:v>
                </c:pt>
                <c:pt idx="6">
                  <c:v>8.7900203862150761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A-40BC-A714-CC3B59A4E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1.6412321918266337</c:v>
                </c:pt>
                <c:pt idx="2">
                  <c:v>2.1959471552900642</c:v>
                </c:pt>
                <c:pt idx="3">
                  <c:v>2.5992849812969645</c:v>
                </c:pt>
                <c:pt idx="4">
                  <c:v>3.0551089806939591</c:v>
                </c:pt>
                <c:pt idx="5">
                  <c:v>5.4141017154834792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34B-9FAA-2DF724F41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5287520878073"/>
          <c:y val="0.14209099346951093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1.9816271316192573</c:v>
                </c:pt>
                <c:pt idx="2">
                  <c:v>3.4168588608627672</c:v>
                </c:pt>
                <c:pt idx="3">
                  <c:v>5.5089545499165604</c:v>
                </c:pt>
                <c:pt idx="4">
                  <c:v>6.4519219051429388</c:v>
                </c:pt>
                <c:pt idx="5">
                  <c:v>10.993562895952421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E40-8FD2-C09BA09CF4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1.8391275713828235</c:v>
                </c:pt>
                <c:pt idx="2">
                  <c:v>3.4408668436509133</c:v>
                </c:pt>
                <c:pt idx="3">
                  <c:v>5.8830262138237313</c:v>
                </c:pt>
                <c:pt idx="4">
                  <c:v>5.5842941083897841</c:v>
                </c:pt>
                <c:pt idx="5">
                  <c:v>8.5511257036917296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8-48CE-8A65-64A7E9A7FD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2.8580716971571918</c:v>
                </c:pt>
                <c:pt idx="2">
                  <c:v>5.5482939253694816</c:v>
                </c:pt>
                <c:pt idx="3">
                  <c:v>9.3377605588371306</c:v>
                </c:pt>
                <c:pt idx="4">
                  <c:v>8.6531715328846115</c:v>
                </c:pt>
                <c:pt idx="5">
                  <c:v>12.932138463633759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C-4502-A19C-A19B8D577B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6196611787165"/>
          <c:y val="0.13654228927165551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2.0800146479964767</c:v>
                </c:pt>
                <c:pt idx="3">
                  <c:v>3.6504916962933063</c:v>
                </c:pt>
                <c:pt idx="4">
                  <c:v>5.8322565759685965</c:v>
                </c:pt>
                <c:pt idx="5">
                  <c:v>5.9361241317778237</c:v>
                </c:pt>
                <c:pt idx="6">
                  <c:v>9.472732194690348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FBC-A264-295997FC47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1.5246381906603386</c:v>
                </c:pt>
                <c:pt idx="2">
                  <c:v>1.9805303537721488</c:v>
                </c:pt>
                <c:pt idx="3">
                  <c:v>2.7744487567705889</c:v>
                </c:pt>
                <c:pt idx="4">
                  <c:v>3.858049402484951</c:v>
                </c:pt>
                <c:pt idx="5">
                  <c:v>9.0640239654451715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5-44F4-81B6-2A85E661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1.9668265387689847</c:v>
                </c:pt>
                <c:pt idx="2">
                  <c:v>3.4308621891703464</c:v>
                </c:pt>
                <c:pt idx="3">
                  <c:v>4.8267882442692631</c:v>
                </c:pt>
                <c:pt idx="4">
                  <c:v>5.612786306300217</c:v>
                </c:pt>
                <c:pt idx="5">
                  <c:v>6.9267944279934941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8-48B8-BDCA-8502905A14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1.8980771594860162</c:v>
                </c:pt>
                <c:pt idx="2">
                  <c:v>3.4481951972867395</c:v>
                </c:pt>
                <c:pt idx="3">
                  <c:v>5.0183492592143724</c:v>
                </c:pt>
                <c:pt idx="4">
                  <c:v>6.2104038068599055</c:v>
                </c:pt>
                <c:pt idx="5">
                  <c:v>11.904479740729125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A-47B3-A292-5527120C73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1.8108941897750623</c:v>
                </c:pt>
                <c:pt idx="2">
                  <c:v>3.3032437846805176</c:v>
                </c:pt>
                <c:pt idx="3">
                  <c:v>4.8887494501354078</c:v>
                </c:pt>
                <c:pt idx="4">
                  <c:v>5.4798667246094048</c:v>
                </c:pt>
                <c:pt idx="5">
                  <c:v>9.7454665539339569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B2B-9E58-2850204B01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1.8001090196726004</c:v>
                </c:pt>
                <c:pt idx="3">
                  <c:v>3.0407078812274384</c:v>
                </c:pt>
                <c:pt idx="4">
                  <c:v>4.3770839275974076</c:v>
                </c:pt>
                <c:pt idx="5">
                  <c:v>5.2902765600636199</c:v>
                </c:pt>
                <c:pt idx="6">
                  <c:v>9.4101911720254368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9-47CC-9036-EC0C2FB94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600 x 600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395790</c:v>
                </c:pt>
                <c:pt idx="1">
                  <c:v>221549</c:v>
                </c:pt>
                <c:pt idx="2">
                  <c:v>161865</c:v>
                </c:pt>
                <c:pt idx="3">
                  <c:v>144469</c:v>
                </c:pt>
                <c:pt idx="4">
                  <c:v>109948</c:v>
                </c:pt>
                <c:pt idx="5">
                  <c:v>109489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7-4E63-A010-A3B062458423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152489</c:v>
                </c:pt>
                <c:pt idx="1">
                  <c:v>95962</c:v>
                </c:pt>
                <c:pt idx="2">
                  <c:v>74085</c:v>
                </c:pt>
                <c:pt idx="3">
                  <c:v>53879</c:v>
                </c:pt>
                <c:pt idx="4">
                  <c:v>51998</c:v>
                </c:pt>
                <c:pt idx="5">
                  <c:v>24656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7-4E63-A010-A3B062458423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392609</c:v>
                </c:pt>
                <c:pt idx="1">
                  <c:v>239216</c:v>
                </c:pt>
                <c:pt idx="2">
                  <c:v>178788</c:v>
                </c:pt>
                <c:pt idx="3">
                  <c:v>151045</c:v>
                </c:pt>
                <c:pt idx="4">
                  <c:v>128509</c:v>
                </c:pt>
                <c:pt idx="5">
                  <c:v>72516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7-4E63-A010-A3B062458423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130105</c:v>
                </c:pt>
                <c:pt idx="1">
                  <c:v>85335</c:v>
                </c:pt>
                <c:pt idx="2">
                  <c:v>65692</c:v>
                </c:pt>
                <c:pt idx="3">
                  <c:v>46894</c:v>
                </c:pt>
                <c:pt idx="4">
                  <c:v>33723</c:v>
                </c:pt>
                <c:pt idx="5">
                  <c:v>14354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7-4E63-A010-A3B06245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2797186</c:v>
                </c:pt>
                <c:pt idx="1">
                  <c:v>1417962</c:v>
                </c:pt>
                <c:pt idx="2">
                  <c:v>831491</c:v>
                </c:pt>
                <c:pt idx="3">
                  <c:v>539708</c:v>
                </c:pt>
                <c:pt idx="4">
                  <c:v>439426</c:v>
                </c:pt>
                <c:pt idx="5">
                  <c:v>274450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3-42C7-8ABD-FDA63673265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978412</c:v>
                </c:pt>
                <c:pt idx="1">
                  <c:v>540877</c:v>
                </c:pt>
                <c:pt idx="2">
                  <c:v>304147</c:v>
                </c:pt>
                <c:pt idx="3">
                  <c:v>220224</c:v>
                </c:pt>
                <c:pt idx="4">
                  <c:v>176600</c:v>
                </c:pt>
                <c:pt idx="5">
                  <c:v>196862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3-42C7-8ABD-FDA63673265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2805986</c:v>
                </c:pt>
                <c:pt idx="1">
                  <c:v>1416001</c:v>
                </c:pt>
                <c:pt idx="2">
                  <c:v>821218</c:v>
                </c:pt>
                <c:pt idx="3">
                  <c:v>509350</c:v>
                </c:pt>
                <c:pt idx="4">
                  <c:v>434907</c:v>
                </c:pt>
                <c:pt idx="5">
                  <c:v>255239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3-42C7-8ABD-FDA63673265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664335</c:v>
                </c:pt>
                <c:pt idx="1">
                  <c:v>337770</c:v>
                </c:pt>
                <c:pt idx="2">
                  <c:v>193635</c:v>
                </c:pt>
                <c:pt idx="3">
                  <c:v>137635</c:v>
                </c:pt>
                <c:pt idx="4">
                  <c:v>118361</c:v>
                </c:pt>
                <c:pt idx="5">
                  <c:v>95908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3-42C7-8ABD-FDA6367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</a:t>
            </a:r>
            <a:r>
              <a:rPr lang="en-US" baseline="0"/>
              <a:t>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33274558</c:v>
                </c:pt>
                <c:pt idx="1">
                  <c:v>17466949</c:v>
                </c:pt>
                <c:pt idx="2">
                  <c:v>9105632</c:v>
                </c:pt>
                <c:pt idx="3">
                  <c:v>5368779</c:v>
                </c:pt>
                <c:pt idx="4">
                  <c:v>5642010</c:v>
                </c:pt>
                <c:pt idx="5">
                  <c:v>3779028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E02-809F-1823FB8DA9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26592717</c:v>
                </c:pt>
                <c:pt idx="1">
                  <c:v>15768801</c:v>
                </c:pt>
                <c:pt idx="2">
                  <c:v>7564411</c:v>
                </c:pt>
                <c:pt idx="3">
                  <c:v>4521071</c:v>
                </c:pt>
                <c:pt idx="4">
                  <c:v>4612473</c:v>
                </c:pt>
                <c:pt idx="5">
                  <c:v>3729862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5-4E02-809F-1823FB8DA9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31581026</c:v>
                </c:pt>
                <c:pt idx="1">
                  <c:v>17171743</c:v>
                </c:pt>
                <c:pt idx="2">
                  <c:v>9178218</c:v>
                </c:pt>
                <c:pt idx="3">
                  <c:v>5368160</c:v>
                </c:pt>
                <c:pt idx="4">
                  <c:v>5655330</c:v>
                </c:pt>
                <c:pt idx="5">
                  <c:v>3693201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5-4E02-809F-1823FB8DA9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6376706</c:v>
                </c:pt>
                <c:pt idx="1">
                  <c:v>3359561</c:v>
                </c:pt>
                <c:pt idx="2">
                  <c:v>1849288</c:v>
                </c:pt>
                <c:pt idx="3">
                  <c:v>1270678</c:v>
                </c:pt>
                <c:pt idx="4">
                  <c:v>1026778</c:v>
                </c:pt>
                <c:pt idx="5">
                  <c:v>535656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5-4E02-809F-1823FB8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para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534112516</c:v>
                </c:pt>
                <c:pt idx="1">
                  <c:v>188752044</c:v>
                </c:pt>
                <c:pt idx="2">
                  <c:v>97791893</c:v>
                </c:pt>
                <c:pt idx="3">
                  <c:v>57692937</c:v>
                </c:pt>
                <c:pt idx="4">
                  <c:v>62382517</c:v>
                </c:pt>
                <c:pt idx="5">
                  <c:v>42968365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824-A776-656C04E10B8E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721473512</c:v>
                </c:pt>
                <c:pt idx="1">
                  <c:v>203236743</c:v>
                </c:pt>
                <c:pt idx="2">
                  <c:v>102562613</c:v>
                </c:pt>
                <c:pt idx="3">
                  <c:v>65972682</c:v>
                </c:pt>
                <c:pt idx="4">
                  <c:v>62808022</c:v>
                </c:pt>
                <c:pt idx="5">
                  <c:v>42752207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A-4824-A776-656C04E10B8E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536677694</c:v>
                </c:pt>
                <c:pt idx="1">
                  <c:v>187776148</c:v>
                </c:pt>
                <c:pt idx="2">
                  <c:v>96728418</c:v>
                </c:pt>
                <c:pt idx="3">
                  <c:v>57473919</c:v>
                </c:pt>
                <c:pt idx="4">
                  <c:v>62020924</c:v>
                </c:pt>
                <c:pt idx="5">
                  <c:v>41499532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A-4824-A776-656C04E10B8E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51511213</c:v>
                </c:pt>
                <c:pt idx="1">
                  <c:v>28445181</c:v>
                </c:pt>
                <c:pt idx="2">
                  <c:v>15594130</c:v>
                </c:pt>
                <c:pt idx="3">
                  <c:v>10536685</c:v>
                </c:pt>
                <c:pt idx="4">
                  <c:v>9400085</c:v>
                </c:pt>
                <c:pt idx="5">
                  <c:v>5285659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A-4824-A776-656C04E1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12245</xdr:colOff>
      <xdr:row>20</xdr:row>
      <xdr:rowOff>3392</xdr:rowOff>
    </xdr:from>
    <xdr:to>
      <xdr:col>11</xdr:col>
      <xdr:colOff>758371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68465-1518-4B3C-A5D5-6379B26E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</xdr:rowOff>
    </xdr:from>
    <xdr:to>
      <xdr:col>24</xdr:col>
      <xdr:colOff>0</xdr:colOff>
      <xdr:row>43</xdr:row>
      <xdr:rowOff>178037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1576D4-C1CF-4234-8548-CE076FAF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10430</xdr:colOff>
      <xdr:row>45</xdr:row>
      <xdr:rowOff>0</xdr:rowOff>
    </xdr:from>
    <xdr:to>
      <xdr:col>11</xdr:col>
      <xdr:colOff>756479</xdr:colOff>
      <xdr:row>69</xdr:row>
      <xdr:rowOff>5522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B2D09A-CE6B-4037-80C4-C0963027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760186</xdr:colOff>
      <xdr:row>45</xdr:row>
      <xdr:rowOff>6350</xdr:rowOff>
    </xdr:from>
    <xdr:to>
      <xdr:col>23</xdr:col>
      <xdr:colOff>755650</xdr:colOff>
      <xdr:row>68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5C468F1-E53F-4847-9260-4C773191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32</xdr:row>
      <xdr:rowOff>172357</xdr:rowOff>
    </xdr:from>
    <xdr:to>
      <xdr:col>36</xdr:col>
      <xdr:colOff>0</xdr:colOff>
      <xdr:row>57</xdr:row>
      <xdr:rowOff>14941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5920F9-41EF-43DC-80E1-85288AC7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12245</xdr:colOff>
      <xdr:row>88</xdr:row>
      <xdr:rowOff>3392</xdr:rowOff>
    </xdr:from>
    <xdr:to>
      <xdr:col>11</xdr:col>
      <xdr:colOff>758371</xdr:colOff>
      <xdr:row>112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03AF71-687F-4EBA-A5E3-FB20B224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88</xdr:row>
      <xdr:rowOff>1</xdr:rowOff>
    </xdr:from>
    <xdr:to>
      <xdr:col>24</xdr:col>
      <xdr:colOff>0</xdr:colOff>
      <xdr:row>111</xdr:row>
      <xdr:rowOff>178037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1CF69E-0389-48D0-8999-914AF4FC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10430</xdr:colOff>
      <xdr:row>113</xdr:row>
      <xdr:rowOff>0</xdr:rowOff>
    </xdr:from>
    <xdr:to>
      <xdr:col>11</xdr:col>
      <xdr:colOff>756479</xdr:colOff>
      <xdr:row>137</xdr:row>
      <xdr:rowOff>5522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78BC50-35FD-48CB-A1DC-608FB52E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760186</xdr:colOff>
      <xdr:row>113</xdr:row>
      <xdr:rowOff>6350</xdr:rowOff>
    </xdr:from>
    <xdr:to>
      <xdr:col>23</xdr:col>
      <xdr:colOff>755650</xdr:colOff>
      <xdr:row>136</xdr:row>
      <xdr:rowOff>177800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8C186-03F2-47BE-A7F1-D26F32BA4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743857</xdr:colOff>
      <xdr:row>100</xdr:row>
      <xdr:rowOff>145143</xdr:rowOff>
    </xdr:from>
    <xdr:to>
      <xdr:col>35</xdr:col>
      <xdr:colOff>743857</xdr:colOff>
      <xdr:row>124</xdr:row>
      <xdr:rowOff>169155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9DDE978-282D-40EF-98D9-5513BCEA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12245</xdr:colOff>
      <xdr:row>156</xdr:row>
      <xdr:rowOff>3392</xdr:rowOff>
    </xdr:from>
    <xdr:to>
      <xdr:col>11</xdr:col>
      <xdr:colOff>758371</xdr:colOff>
      <xdr:row>180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C1F6FC5-AD76-499A-A0C6-0D1930628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156</xdr:row>
      <xdr:rowOff>1</xdr:rowOff>
    </xdr:from>
    <xdr:to>
      <xdr:col>24</xdr:col>
      <xdr:colOff>0</xdr:colOff>
      <xdr:row>179</xdr:row>
      <xdr:rowOff>178037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95EAF62-3D43-4CFD-AC20-255E7881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10430</xdr:colOff>
      <xdr:row>181</xdr:row>
      <xdr:rowOff>0</xdr:rowOff>
    </xdr:from>
    <xdr:to>
      <xdr:col>11</xdr:col>
      <xdr:colOff>756479</xdr:colOff>
      <xdr:row>205</xdr:row>
      <xdr:rowOff>5522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95AD34-BD84-42B1-A2EB-85ADBC8F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760186</xdr:colOff>
      <xdr:row>181</xdr:row>
      <xdr:rowOff>6350</xdr:rowOff>
    </xdr:from>
    <xdr:to>
      <xdr:col>23</xdr:col>
      <xdr:colOff>755650</xdr:colOff>
      <xdr:row>204</xdr:row>
      <xdr:rowOff>177800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B1AAD86-FC40-4A09-9627-4CF4E917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743857</xdr:colOff>
      <xdr:row>168</xdr:row>
      <xdr:rowOff>145143</xdr:rowOff>
    </xdr:from>
    <xdr:to>
      <xdr:col>35</xdr:col>
      <xdr:colOff>743857</xdr:colOff>
      <xdr:row>192</xdr:row>
      <xdr:rowOff>169155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EC430-5F70-4F28-9D33-D73DCFD5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12245</xdr:colOff>
      <xdr:row>224</xdr:row>
      <xdr:rowOff>3392</xdr:rowOff>
    </xdr:from>
    <xdr:to>
      <xdr:col>11</xdr:col>
      <xdr:colOff>758371</xdr:colOff>
      <xdr:row>248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E7BF2A2-99D6-4215-BCCE-705C294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224</xdr:row>
      <xdr:rowOff>1</xdr:rowOff>
    </xdr:from>
    <xdr:to>
      <xdr:col>24</xdr:col>
      <xdr:colOff>0</xdr:colOff>
      <xdr:row>247</xdr:row>
      <xdr:rowOff>178037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1CDC8F6-4D3B-4D1B-8D42-5CCD7805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10430</xdr:colOff>
      <xdr:row>249</xdr:row>
      <xdr:rowOff>0</xdr:rowOff>
    </xdr:from>
    <xdr:to>
      <xdr:col>11</xdr:col>
      <xdr:colOff>756479</xdr:colOff>
      <xdr:row>273</xdr:row>
      <xdr:rowOff>5522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5F0A8E4-F293-441B-91A7-64A44E911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760186</xdr:colOff>
      <xdr:row>249</xdr:row>
      <xdr:rowOff>6350</xdr:rowOff>
    </xdr:from>
    <xdr:to>
      <xdr:col>23</xdr:col>
      <xdr:colOff>755650</xdr:colOff>
      <xdr:row>272</xdr:row>
      <xdr:rowOff>177800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805AF3C-EAF8-40C3-AEB1-143FF314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743857</xdr:colOff>
      <xdr:row>236</xdr:row>
      <xdr:rowOff>145143</xdr:rowOff>
    </xdr:from>
    <xdr:to>
      <xdr:col>35</xdr:col>
      <xdr:colOff>743857</xdr:colOff>
      <xdr:row>260</xdr:row>
      <xdr:rowOff>169155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40FBCDE-C900-4108-9B2A-F9E8BFC1D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-1</xdr:rowOff>
    </xdr:from>
    <xdr:to>
      <xdr:col>14</xdr:col>
      <xdr:colOff>0</xdr:colOff>
      <xdr:row>36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1B22B-6B47-47C4-94A0-80CC9062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0C1AE-A11F-4AEB-863A-AC9AC7E8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14</xdr:col>
      <xdr:colOff>0</xdr:colOff>
      <xdr:row>112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253A1-4A62-4AEC-88C2-55651A0F0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14</xdr:col>
      <xdr:colOff>0</xdr:colOff>
      <xdr:row>150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A2641C-1B6A-43C7-860E-AC2DD53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4F4A-6F75-42C8-AFA7-27988206E9C1}">
  <dimension ref="B1:AI146"/>
  <sheetViews>
    <sheetView zoomScale="55" zoomScaleNormal="55" workbookViewId="0">
      <selection activeCell="T49" sqref="T49"/>
    </sheetView>
  </sheetViews>
  <sheetFormatPr baseColWidth="10" defaultRowHeight="14.5" x14ac:dyDescent="0.35"/>
  <cols>
    <col min="2" max="2" width="2.54296875" customWidth="1"/>
    <col min="3" max="3" width="24.453125" customWidth="1"/>
    <col min="4" max="4" width="16.54296875" customWidth="1"/>
    <col min="5" max="5" width="10.81640625" customWidth="1"/>
    <col min="7" max="7" width="10.90625" customWidth="1"/>
    <col min="11" max="11" width="16.54296875" customWidth="1"/>
    <col min="19" max="19" width="16.54296875" customWidth="1"/>
    <col min="26" max="26" width="10.90625" customWidth="1"/>
    <col min="27" max="27" width="17.7265625" customWidth="1"/>
    <col min="28" max="28" width="7.54296875" customWidth="1"/>
    <col min="29" max="29" width="17.90625" customWidth="1"/>
    <col min="30" max="30" width="13.90625" customWidth="1"/>
    <col min="35" max="35" width="1.90625" customWidth="1"/>
    <col min="60" max="60" width="4.36328125" customWidth="1"/>
    <col min="67" max="67" width="10.90625" customWidth="1"/>
  </cols>
  <sheetData>
    <row r="1" spans="2:35" ht="15" thickBot="1" x14ac:dyDescent="0.4"/>
    <row r="2" spans="2:35" ht="37" x14ac:dyDescent="0.85">
      <c r="B2" s="33" t="s">
        <v>40</v>
      </c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</row>
    <row r="3" spans="2:35" ht="15" thickBot="1" x14ac:dyDescent="0.4">
      <c r="B3" s="34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2:35" x14ac:dyDescent="0.35">
      <c r="B4" s="30"/>
      <c r="C4" s="44" t="s">
        <v>0</v>
      </c>
      <c r="D4" s="35"/>
      <c r="E4" s="35" t="s">
        <v>1</v>
      </c>
      <c r="F4" s="35" t="s">
        <v>2</v>
      </c>
      <c r="G4" s="35" t="s">
        <v>3</v>
      </c>
      <c r="H4" s="35" t="s">
        <v>4</v>
      </c>
      <c r="I4" s="35" t="s">
        <v>5</v>
      </c>
      <c r="J4" s="35" t="s">
        <v>6</v>
      </c>
      <c r="K4" s="46" t="s">
        <v>7</v>
      </c>
      <c r="L4" s="46"/>
      <c r="M4" s="35" t="s">
        <v>1</v>
      </c>
      <c r="N4" s="35" t="s">
        <v>2</v>
      </c>
      <c r="O4" s="35" t="s">
        <v>3</v>
      </c>
      <c r="P4" s="35" t="s">
        <v>4</v>
      </c>
      <c r="Q4" s="35" t="s">
        <v>5</v>
      </c>
      <c r="R4" s="35" t="s">
        <v>6</v>
      </c>
      <c r="S4" s="46" t="s">
        <v>8</v>
      </c>
      <c r="T4" s="46"/>
      <c r="U4" s="35" t="s">
        <v>1</v>
      </c>
      <c r="V4" s="35" t="s">
        <v>2</v>
      </c>
      <c r="W4" s="35" t="s">
        <v>3</v>
      </c>
      <c r="X4" s="35" t="s">
        <v>4</v>
      </c>
      <c r="Y4" s="35" t="s">
        <v>5</v>
      </c>
      <c r="Z4" s="35" t="s">
        <v>6</v>
      </c>
      <c r="AA4" s="46" t="s">
        <v>9</v>
      </c>
      <c r="AB4" s="46"/>
      <c r="AC4" s="35" t="s">
        <v>1</v>
      </c>
      <c r="AD4" s="35" t="s">
        <v>2</v>
      </c>
      <c r="AE4" s="35" t="s">
        <v>3</v>
      </c>
      <c r="AF4" s="35" t="s">
        <v>4</v>
      </c>
      <c r="AG4" s="35" t="s">
        <v>5</v>
      </c>
      <c r="AH4" s="36" t="s">
        <v>6</v>
      </c>
      <c r="AI4" s="21"/>
    </row>
    <row r="5" spans="2:35" x14ac:dyDescent="0.35">
      <c r="B5" s="30"/>
      <c r="C5" s="23"/>
      <c r="D5" s="42" t="s">
        <v>10</v>
      </c>
      <c r="E5" s="41">
        <v>485558</v>
      </c>
      <c r="F5" s="41">
        <v>225214</v>
      </c>
      <c r="G5" s="41">
        <v>175222</v>
      </c>
      <c r="H5" s="41">
        <v>152628</v>
      </c>
      <c r="I5" s="41">
        <v>116826</v>
      </c>
      <c r="J5" s="41">
        <v>109915</v>
      </c>
      <c r="K5" s="20"/>
      <c r="L5" s="20"/>
      <c r="M5" s="41">
        <v>2862463</v>
      </c>
      <c r="N5" s="41">
        <v>1413163</v>
      </c>
      <c r="O5" s="41">
        <v>761203</v>
      </c>
      <c r="P5" s="41">
        <v>529649</v>
      </c>
      <c r="Q5" s="41">
        <v>403868</v>
      </c>
      <c r="R5" s="41">
        <v>257763</v>
      </c>
      <c r="S5" s="20"/>
      <c r="T5" s="20"/>
      <c r="U5" s="41">
        <v>38688612</v>
      </c>
      <c r="V5" s="41">
        <v>18134491</v>
      </c>
      <c r="W5" s="41">
        <v>8750700</v>
      </c>
      <c r="X5" s="41">
        <v>5202393</v>
      </c>
      <c r="Y5" s="41">
        <v>5502939</v>
      </c>
      <c r="Z5" s="41">
        <v>3839319</v>
      </c>
      <c r="AA5" s="20"/>
      <c r="AB5" s="20"/>
      <c r="AC5" s="41">
        <v>570504875</v>
      </c>
      <c r="AD5" s="41">
        <v>185874891</v>
      </c>
      <c r="AE5" s="41">
        <v>98201964</v>
      </c>
      <c r="AF5" s="41">
        <v>57802188</v>
      </c>
      <c r="AG5" s="41">
        <v>62347548</v>
      </c>
      <c r="AH5" s="43">
        <v>41377876</v>
      </c>
      <c r="AI5" s="21"/>
    </row>
    <row r="6" spans="2:35" x14ac:dyDescent="0.35">
      <c r="B6" s="30"/>
      <c r="C6" s="23"/>
      <c r="D6" s="42" t="s">
        <v>11</v>
      </c>
      <c r="E6" s="41">
        <v>446813</v>
      </c>
      <c r="F6" s="41">
        <v>231036</v>
      </c>
      <c r="G6" s="41">
        <v>158038</v>
      </c>
      <c r="H6" s="41">
        <v>137826</v>
      </c>
      <c r="I6" s="41">
        <v>117343</v>
      </c>
      <c r="J6" s="41">
        <v>107806</v>
      </c>
      <c r="K6" s="20"/>
      <c r="L6" s="20"/>
      <c r="M6" s="41">
        <v>2840315</v>
      </c>
      <c r="N6" s="41">
        <v>1379194</v>
      </c>
      <c r="O6" s="41">
        <v>793846</v>
      </c>
      <c r="P6" s="41">
        <v>547548</v>
      </c>
      <c r="Q6" s="41">
        <v>421499</v>
      </c>
      <c r="R6" s="41">
        <v>283072</v>
      </c>
      <c r="S6" s="20"/>
      <c r="T6" s="20"/>
      <c r="U6" s="41">
        <v>31593875</v>
      </c>
      <c r="V6" s="41">
        <v>16828719</v>
      </c>
      <c r="W6" s="41">
        <v>8921241</v>
      </c>
      <c r="X6" s="41">
        <v>5278047</v>
      </c>
      <c r="Y6" s="41">
        <v>5588988</v>
      </c>
      <c r="Z6" s="41">
        <v>3763119</v>
      </c>
      <c r="AA6" s="20"/>
      <c r="AB6" s="20"/>
      <c r="AC6" s="41">
        <v>561367182</v>
      </c>
      <c r="AD6" s="41">
        <v>189638235</v>
      </c>
      <c r="AE6" s="41">
        <v>97728646</v>
      </c>
      <c r="AF6" s="41">
        <v>57067751</v>
      </c>
      <c r="AG6" s="41">
        <v>62155260</v>
      </c>
      <c r="AH6" s="43">
        <v>42933862</v>
      </c>
      <c r="AI6" s="21"/>
    </row>
    <row r="7" spans="2:35" x14ac:dyDescent="0.35">
      <c r="B7" s="30"/>
      <c r="C7" s="23"/>
      <c r="D7" s="42" t="s">
        <v>12</v>
      </c>
      <c r="E7" s="41">
        <v>336275</v>
      </c>
      <c r="F7" s="41">
        <v>230136</v>
      </c>
      <c r="G7" s="41">
        <v>155050</v>
      </c>
      <c r="H7" s="41">
        <v>119886</v>
      </c>
      <c r="I7" s="41">
        <v>98800</v>
      </c>
      <c r="J7" s="41">
        <v>106201</v>
      </c>
      <c r="K7" s="20"/>
      <c r="L7" s="20"/>
      <c r="M7" s="41">
        <v>2739341</v>
      </c>
      <c r="N7" s="41">
        <v>1463585</v>
      </c>
      <c r="O7" s="41">
        <v>947571</v>
      </c>
      <c r="P7" s="41">
        <v>553054</v>
      </c>
      <c r="Q7" s="41">
        <v>454208</v>
      </c>
      <c r="R7" s="41">
        <v>307493</v>
      </c>
      <c r="S7" s="20"/>
      <c r="T7" s="20"/>
      <c r="U7" s="41">
        <v>38151305</v>
      </c>
      <c r="V7" s="41">
        <v>17305729</v>
      </c>
      <c r="W7" s="41">
        <v>9184856</v>
      </c>
      <c r="X7" s="41">
        <v>5283110</v>
      </c>
      <c r="Y7" s="41">
        <v>5668765</v>
      </c>
      <c r="Z7" s="41">
        <v>3743008</v>
      </c>
      <c r="AA7" s="20"/>
      <c r="AB7" s="20"/>
      <c r="AC7" s="41">
        <v>625076401</v>
      </c>
      <c r="AD7" s="41">
        <v>190132886</v>
      </c>
      <c r="AE7" s="41">
        <v>97738521</v>
      </c>
      <c r="AF7" s="41">
        <v>57886080</v>
      </c>
      <c r="AG7" s="41">
        <v>61468343</v>
      </c>
      <c r="AH7" s="43">
        <v>43438258</v>
      </c>
      <c r="AI7" s="21"/>
    </row>
    <row r="8" spans="2:35" x14ac:dyDescent="0.35">
      <c r="B8" s="30"/>
      <c r="C8" s="23"/>
      <c r="D8" s="42" t="s">
        <v>13</v>
      </c>
      <c r="E8" s="41">
        <v>337186</v>
      </c>
      <c r="F8" s="41">
        <v>206684</v>
      </c>
      <c r="G8" s="41">
        <v>190182</v>
      </c>
      <c r="H8" s="41">
        <v>162382</v>
      </c>
      <c r="I8" s="41">
        <v>99526</v>
      </c>
      <c r="J8" s="41">
        <v>116117</v>
      </c>
      <c r="K8" s="20"/>
      <c r="L8" s="20"/>
      <c r="M8" s="41">
        <v>2780478</v>
      </c>
      <c r="N8" s="41">
        <v>1406761</v>
      </c>
      <c r="O8" s="41">
        <v>820370</v>
      </c>
      <c r="P8" s="41">
        <v>560338</v>
      </c>
      <c r="Q8" s="41">
        <v>440652</v>
      </c>
      <c r="R8" s="41">
        <v>263184</v>
      </c>
      <c r="S8" s="20"/>
      <c r="T8" s="20"/>
      <c r="U8" s="41">
        <v>33085941</v>
      </c>
      <c r="V8" s="41">
        <v>17294050</v>
      </c>
      <c r="W8" s="41">
        <v>8969601</v>
      </c>
      <c r="X8" s="41">
        <v>5508341</v>
      </c>
      <c r="Y8" s="41">
        <v>5738292</v>
      </c>
      <c r="Z8" s="41">
        <v>3707176</v>
      </c>
      <c r="AA8" s="20"/>
      <c r="AB8" s="20"/>
      <c r="AC8" s="41">
        <v>629212156</v>
      </c>
      <c r="AD8" s="41">
        <v>189400543</v>
      </c>
      <c r="AE8" s="41">
        <v>99699746</v>
      </c>
      <c r="AF8" s="41">
        <v>58287155</v>
      </c>
      <c r="AG8" s="41">
        <v>62474321</v>
      </c>
      <c r="AH8" s="43">
        <v>43520104</v>
      </c>
      <c r="AI8" s="21"/>
    </row>
    <row r="9" spans="2:35" x14ac:dyDescent="0.35">
      <c r="B9" s="30"/>
      <c r="C9" s="23"/>
      <c r="D9" s="42" t="s">
        <v>14</v>
      </c>
      <c r="E9" s="41">
        <v>452266</v>
      </c>
      <c r="F9" s="41">
        <v>225145</v>
      </c>
      <c r="G9" s="41">
        <v>160465</v>
      </c>
      <c r="H9" s="41">
        <v>96186</v>
      </c>
      <c r="I9" s="41">
        <v>118847</v>
      </c>
      <c r="J9" s="41">
        <v>107094</v>
      </c>
      <c r="K9" s="20"/>
      <c r="L9" s="20"/>
      <c r="M9" s="41">
        <v>2774776</v>
      </c>
      <c r="N9" s="41">
        <v>1380530</v>
      </c>
      <c r="O9" s="41">
        <v>793516</v>
      </c>
      <c r="P9" s="41">
        <v>540752</v>
      </c>
      <c r="Q9" s="41">
        <v>423370</v>
      </c>
      <c r="R9" s="41">
        <v>256532</v>
      </c>
      <c r="S9" s="20"/>
      <c r="T9" s="20"/>
      <c r="U9" s="41">
        <v>34313091</v>
      </c>
      <c r="V9" s="41">
        <v>17645416</v>
      </c>
      <c r="W9" s="41">
        <v>8846671</v>
      </c>
      <c r="X9" s="41">
        <v>5615949</v>
      </c>
      <c r="Y9" s="41">
        <v>5812800</v>
      </c>
      <c r="Z9" s="41">
        <v>3774755</v>
      </c>
      <c r="AA9" s="20"/>
      <c r="AB9" s="20"/>
      <c r="AC9" s="41">
        <v>676282753</v>
      </c>
      <c r="AD9" s="41">
        <v>190531636</v>
      </c>
      <c r="AE9" s="41">
        <v>99169045</v>
      </c>
      <c r="AF9" s="41">
        <v>57963553</v>
      </c>
      <c r="AG9" s="41">
        <v>62643347</v>
      </c>
      <c r="AH9" s="43">
        <v>43290210</v>
      </c>
      <c r="AI9" s="21"/>
    </row>
    <row r="10" spans="2:35" x14ac:dyDescent="0.35">
      <c r="B10" s="30"/>
      <c r="C10" s="23"/>
      <c r="D10" s="42" t="s">
        <v>15</v>
      </c>
      <c r="E10" s="41">
        <v>415994</v>
      </c>
      <c r="F10" s="41">
        <v>179436</v>
      </c>
      <c r="G10" s="41">
        <v>176047</v>
      </c>
      <c r="H10" s="41">
        <v>125317</v>
      </c>
      <c r="I10" s="41">
        <v>119698</v>
      </c>
      <c r="J10" s="41">
        <v>111724</v>
      </c>
      <c r="K10" s="20"/>
      <c r="L10" s="20"/>
      <c r="M10" s="41">
        <v>2760666</v>
      </c>
      <c r="N10" s="41">
        <v>1403803</v>
      </c>
      <c r="O10" s="41">
        <v>808308</v>
      </c>
      <c r="P10" s="41">
        <v>609758</v>
      </c>
      <c r="Q10" s="41">
        <v>435743</v>
      </c>
      <c r="R10" s="41">
        <v>294589</v>
      </c>
      <c r="S10" s="20"/>
      <c r="T10" s="20"/>
      <c r="U10" s="41">
        <v>31914093</v>
      </c>
      <c r="V10" s="41">
        <v>17395711</v>
      </c>
      <c r="W10" s="41">
        <v>9224517</v>
      </c>
      <c r="X10" s="41">
        <v>5268302</v>
      </c>
      <c r="Y10" s="41">
        <v>5645986</v>
      </c>
      <c r="Z10" s="41">
        <v>3866560</v>
      </c>
      <c r="AA10" s="20"/>
      <c r="AB10" s="20"/>
      <c r="AC10" s="41">
        <v>679660114</v>
      </c>
      <c r="AD10" s="41">
        <v>189255720</v>
      </c>
      <c r="AE10" s="41">
        <v>97230584</v>
      </c>
      <c r="AF10" s="41">
        <v>57400571</v>
      </c>
      <c r="AG10" s="41">
        <v>62190530</v>
      </c>
      <c r="AH10" s="43">
        <v>41951551</v>
      </c>
      <c r="AI10" s="21"/>
    </row>
    <row r="11" spans="2:35" x14ac:dyDescent="0.35">
      <c r="B11" s="30"/>
      <c r="C11" s="23"/>
      <c r="D11" s="42" t="s">
        <v>16</v>
      </c>
      <c r="E11" s="41">
        <v>407903</v>
      </c>
      <c r="F11" s="41">
        <v>231857</v>
      </c>
      <c r="G11" s="41">
        <v>153035</v>
      </c>
      <c r="H11" s="41">
        <v>118519</v>
      </c>
      <c r="I11" s="41">
        <v>118475</v>
      </c>
      <c r="J11" s="41">
        <v>114339</v>
      </c>
      <c r="K11" s="20"/>
      <c r="L11" s="20"/>
      <c r="M11" s="41">
        <v>2826202</v>
      </c>
      <c r="N11" s="41">
        <v>1387326</v>
      </c>
      <c r="O11" s="41">
        <v>865700</v>
      </c>
      <c r="P11" s="41">
        <v>514607</v>
      </c>
      <c r="Q11" s="41">
        <v>406864</v>
      </c>
      <c r="R11" s="41">
        <v>247666</v>
      </c>
      <c r="S11" s="20"/>
      <c r="T11" s="20"/>
      <c r="U11" s="41">
        <v>32677351</v>
      </c>
      <c r="V11" s="41">
        <v>17861743</v>
      </c>
      <c r="W11" s="41">
        <v>9141165</v>
      </c>
      <c r="X11" s="41">
        <v>5282159</v>
      </c>
      <c r="Y11" s="41">
        <v>5574928</v>
      </c>
      <c r="Z11" s="41">
        <v>3724796</v>
      </c>
      <c r="AA11" s="20"/>
      <c r="AB11" s="20"/>
      <c r="AC11" s="41">
        <v>675987420</v>
      </c>
      <c r="AD11" s="41">
        <v>189723452</v>
      </c>
      <c r="AE11" s="41">
        <v>97214012</v>
      </c>
      <c r="AF11" s="41">
        <v>57987299</v>
      </c>
      <c r="AG11" s="41">
        <v>62145797</v>
      </c>
      <c r="AH11" s="43">
        <v>42846269</v>
      </c>
      <c r="AI11" s="21"/>
    </row>
    <row r="12" spans="2:35" x14ac:dyDescent="0.35">
      <c r="B12" s="30"/>
      <c r="C12" s="23"/>
      <c r="D12" s="42" t="s">
        <v>17</v>
      </c>
      <c r="E12" s="41">
        <v>324401</v>
      </c>
      <c r="F12" s="41">
        <v>168614</v>
      </c>
      <c r="G12" s="41">
        <v>158159</v>
      </c>
      <c r="H12" s="41">
        <v>137594</v>
      </c>
      <c r="I12" s="41">
        <v>104087</v>
      </c>
      <c r="J12" s="41">
        <v>85573</v>
      </c>
      <c r="K12" s="20"/>
      <c r="L12" s="20"/>
      <c r="M12" s="41">
        <v>2820638</v>
      </c>
      <c r="N12" s="41">
        <v>1411068</v>
      </c>
      <c r="O12" s="41">
        <v>777247</v>
      </c>
      <c r="P12" s="41">
        <v>528412</v>
      </c>
      <c r="Q12" s="41">
        <v>445493</v>
      </c>
      <c r="R12" s="41">
        <v>303639</v>
      </c>
      <c r="S12" s="20"/>
      <c r="T12" s="20"/>
      <c r="U12" s="41">
        <v>34859500</v>
      </c>
      <c r="V12" s="41">
        <v>17813659</v>
      </c>
      <c r="W12" s="41">
        <v>9213258</v>
      </c>
      <c r="X12" s="41">
        <v>5299840</v>
      </c>
      <c r="Y12" s="41">
        <v>5496962</v>
      </c>
      <c r="Z12" s="41">
        <v>3763957</v>
      </c>
      <c r="AA12" s="20"/>
      <c r="AB12" s="20"/>
      <c r="AC12" s="41">
        <v>676455948</v>
      </c>
      <c r="AD12" s="41">
        <v>188572978</v>
      </c>
      <c r="AE12" s="41">
        <v>97586954</v>
      </c>
      <c r="AF12" s="41">
        <v>57205654</v>
      </c>
      <c r="AG12" s="41">
        <v>61770021</v>
      </c>
      <c r="AH12" s="43">
        <v>43016467</v>
      </c>
      <c r="AI12" s="21"/>
    </row>
    <row r="13" spans="2:35" x14ac:dyDescent="0.35">
      <c r="B13" s="30"/>
      <c r="C13" s="23"/>
      <c r="D13" s="42" t="s">
        <v>18</v>
      </c>
      <c r="E13" s="41">
        <v>402811</v>
      </c>
      <c r="F13" s="41">
        <v>202369</v>
      </c>
      <c r="G13" s="41">
        <v>183927</v>
      </c>
      <c r="H13" s="41">
        <v>150301</v>
      </c>
      <c r="I13" s="41">
        <v>97926</v>
      </c>
      <c r="J13" s="41">
        <v>111349</v>
      </c>
      <c r="K13" s="20"/>
      <c r="L13" s="20"/>
      <c r="M13" s="41">
        <v>2765596</v>
      </c>
      <c r="N13" s="41">
        <v>1450005</v>
      </c>
      <c r="O13" s="41">
        <v>942738</v>
      </c>
      <c r="P13" s="41">
        <v>483914</v>
      </c>
      <c r="Q13" s="41">
        <v>444809</v>
      </c>
      <c r="R13" s="41">
        <v>330960</v>
      </c>
      <c r="S13" s="20"/>
      <c r="T13" s="20"/>
      <c r="U13" s="41">
        <v>33401288</v>
      </c>
      <c r="V13" s="41">
        <v>17683110</v>
      </c>
      <c r="W13" s="41">
        <v>8940587</v>
      </c>
      <c r="X13" s="41">
        <v>5656400</v>
      </c>
      <c r="Y13" s="41">
        <v>5613161</v>
      </c>
      <c r="Z13" s="41">
        <v>3710881</v>
      </c>
      <c r="AA13" s="20"/>
      <c r="AB13" s="20"/>
      <c r="AC13" s="41">
        <v>653728241</v>
      </c>
      <c r="AD13" s="41">
        <v>189545878</v>
      </c>
      <c r="AE13" s="41">
        <v>99173524</v>
      </c>
      <c r="AF13" s="41">
        <v>57962819</v>
      </c>
      <c r="AG13" s="41">
        <v>60983969</v>
      </c>
      <c r="AH13" s="43">
        <v>42820957</v>
      </c>
      <c r="AI13" s="21"/>
    </row>
    <row r="14" spans="2:35" x14ac:dyDescent="0.35">
      <c r="B14" s="30"/>
      <c r="C14" s="23"/>
      <c r="D14" s="42" t="s">
        <v>19</v>
      </c>
      <c r="E14" s="41">
        <v>397607</v>
      </c>
      <c r="F14" s="41">
        <v>173812</v>
      </c>
      <c r="G14" s="41">
        <v>135453</v>
      </c>
      <c r="H14" s="41">
        <v>172010</v>
      </c>
      <c r="I14" s="41">
        <v>117208</v>
      </c>
      <c r="J14" s="41">
        <v>113844</v>
      </c>
      <c r="K14" s="20"/>
      <c r="L14" s="20"/>
      <c r="M14" s="41">
        <v>2822478</v>
      </c>
      <c r="N14" s="41">
        <v>1422246</v>
      </c>
      <c r="O14" s="41">
        <v>802404</v>
      </c>
      <c r="P14" s="41">
        <v>520730</v>
      </c>
      <c r="Q14" s="41">
        <v>479511</v>
      </c>
      <c r="R14" s="41">
        <v>279156</v>
      </c>
      <c r="S14" s="20"/>
      <c r="T14" s="20"/>
      <c r="U14" s="41">
        <v>34558187</v>
      </c>
      <c r="V14" s="41">
        <v>17494233</v>
      </c>
      <c r="W14" s="41">
        <v>9431651</v>
      </c>
      <c r="X14" s="41">
        <v>5268944</v>
      </c>
      <c r="Y14" s="41">
        <v>5660778</v>
      </c>
      <c r="Z14" s="41">
        <v>3776926</v>
      </c>
      <c r="AA14" s="20"/>
      <c r="AB14" s="20"/>
      <c r="AC14" s="41">
        <v>530761886</v>
      </c>
      <c r="AD14" s="41">
        <v>188442543</v>
      </c>
      <c r="AE14" s="41">
        <v>96898056</v>
      </c>
      <c r="AF14" s="41">
        <v>57275588</v>
      </c>
      <c r="AG14" s="41">
        <v>62584077</v>
      </c>
      <c r="AH14" s="43">
        <v>43197133</v>
      </c>
      <c r="AI14" s="21"/>
    </row>
    <row r="15" spans="2:35" x14ac:dyDescent="0.35">
      <c r="B15" s="30"/>
      <c r="C15" s="23"/>
      <c r="D15" s="42" t="s">
        <v>20</v>
      </c>
      <c r="E15" s="41">
        <v>409919</v>
      </c>
      <c r="F15" s="41">
        <v>273393</v>
      </c>
      <c r="G15" s="41">
        <v>166050</v>
      </c>
      <c r="H15" s="41">
        <v>156630</v>
      </c>
      <c r="I15" s="41">
        <v>97960</v>
      </c>
      <c r="J15" s="41">
        <v>114662</v>
      </c>
      <c r="K15" s="20"/>
      <c r="L15" s="20"/>
      <c r="M15" s="41">
        <v>2735088</v>
      </c>
      <c r="N15" s="41">
        <v>1381640</v>
      </c>
      <c r="O15" s="41">
        <v>756368</v>
      </c>
      <c r="P15" s="41">
        <v>526718</v>
      </c>
      <c r="Q15" s="41">
        <v>427726</v>
      </c>
      <c r="R15" s="41">
        <v>272828</v>
      </c>
      <c r="S15" s="20"/>
      <c r="T15" s="20"/>
      <c r="U15" s="41">
        <v>33677564</v>
      </c>
      <c r="V15" s="41">
        <v>17550596</v>
      </c>
      <c r="W15" s="41">
        <v>9100304</v>
      </c>
      <c r="X15" s="41">
        <v>5335665</v>
      </c>
      <c r="Y15" s="41">
        <v>5634698</v>
      </c>
      <c r="Z15" s="41">
        <v>3806781</v>
      </c>
      <c r="AA15" s="20"/>
      <c r="AB15" s="20"/>
      <c r="AC15" s="41">
        <v>438166925</v>
      </c>
      <c r="AD15" s="41">
        <v>185850673</v>
      </c>
      <c r="AE15" s="41">
        <v>98915915</v>
      </c>
      <c r="AF15" s="41">
        <v>57937451</v>
      </c>
      <c r="AG15" s="41">
        <v>62184790</v>
      </c>
      <c r="AH15" s="43">
        <v>42912483</v>
      </c>
      <c r="AI15" s="21"/>
    </row>
    <row r="16" spans="2:35" x14ac:dyDescent="0.35">
      <c r="B16" s="30"/>
      <c r="C16" s="23"/>
      <c r="D16" s="42" t="s">
        <v>21</v>
      </c>
      <c r="E16" s="41">
        <v>409758</v>
      </c>
      <c r="F16" s="41">
        <v>231682</v>
      </c>
      <c r="G16" s="41">
        <v>164564</v>
      </c>
      <c r="H16" s="41">
        <v>171347</v>
      </c>
      <c r="I16" s="41">
        <v>88902</v>
      </c>
      <c r="J16" s="41">
        <v>109034</v>
      </c>
      <c r="K16" s="20"/>
      <c r="L16" s="20"/>
      <c r="M16" s="41">
        <v>2883903</v>
      </c>
      <c r="N16" s="41">
        <v>1505873</v>
      </c>
      <c r="O16" s="41">
        <v>810295</v>
      </c>
      <c r="P16" s="41">
        <v>503040</v>
      </c>
      <c r="Q16" s="41">
        <v>431292</v>
      </c>
      <c r="R16" s="41">
        <v>342861</v>
      </c>
      <c r="S16" s="20"/>
      <c r="T16" s="20"/>
      <c r="U16" s="41">
        <v>33128640</v>
      </c>
      <c r="V16" s="41">
        <v>17360001</v>
      </c>
      <c r="W16" s="41">
        <v>8884132</v>
      </c>
      <c r="X16" s="41">
        <v>5309989</v>
      </c>
      <c r="Y16" s="41">
        <v>5575758</v>
      </c>
      <c r="Z16" s="41">
        <v>3687382</v>
      </c>
      <c r="AA16" s="20"/>
      <c r="AB16" s="20"/>
      <c r="AC16" s="41">
        <v>646229523</v>
      </c>
      <c r="AD16" s="41">
        <v>189056932</v>
      </c>
      <c r="AE16" s="41">
        <v>98937582</v>
      </c>
      <c r="AF16" s="41">
        <v>58104845</v>
      </c>
      <c r="AG16" s="41">
        <v>62142820</v>
      </c>
      <c r="AH16" s="43">
        <v>42833676</v>
      </c>
      <c r="AI16" s="21"/>
    </row>
    <row r="17" spans="2:35" x14ac:dyDescent="0.35">
      <c r="B17" s="30"/>
      <c r="C17" s="23"/>
      <c r="D17" s="42" t="s">
        <v>22</v>
      </c>
      <c r="E17" s="41">
        <v>402828</v>
      </c>
      <c r="F17" s="41">
        <v>227811</v>
      </c>
      <c r="G17" s="41">
        <v>133868</v>
      </c>
      <c r="H17" s="41">
        <v>140945</v>
      </c>
      <c r="I17" s="41">
        <v>131787</v>
      </c>
      <c r="J17" s="41">
        <v>114557</v>
      </c>
      <c r="K17" s="20"/>
      <c r="L17" s="20"/>
      <c r="M17" s="41">
        <v>2781731</v>
      </c>
      <c r="N17" s="41">
        <v>1450147</v>
      </c>
      <c r="O17" s="41">
        <v>892528</v>
      </c>
      <c r="P17" s="41">
        <v>622512</v>
      </c>
      <c r="Q17" s="41">
        <v>435904</v>
      </c>
      <c r="R17" s="41">
        <v>295456</v>
      </c>
      <c r="S17" s="20"/>
      <c r="T17" s="20"/>
      <c r="U17" s="41">
        <v>32586376</v>
      </c>
      <c r="V17" s="41">
        <v>17159805</v>
      </c>
      <c r="W17" s="41">
        <v>9456953</v>
      </c>
      <c r="X17" s="41">
        <v>5259092</v>
      </c>
      <c r="Y17" s="41">
        <v>5556048</v>
      </c>
      <c r="Z17" s="41">
        <v>3872664</v>
      </c>
      <c r="AA17" s="20"/>
      <c r="AB17" s="20"/>
      <c r="AC17" s="41">
        <v>414302890</v>
      </c>
      <c r="AD17" s="41">
        <v>189379083</v>
      </c>
      <c r="AE17" s="41">
        <v>95419534</v>
      </c>
      <c r="AF17" s="41">
        <v>57749527</v>
      </c>
      <c r="AG17" s="41">
        <v>61992454</v>
      </c>
      <c r="AH17" s="43">
        <v>42472431</v>
      </c>
      <c r="AI17" s="21"/>
    </row>
    <row r="18" spans="2:35" x14ac:dyDescent="0.35">
      <c r="B18" s="30"/>
      <c r="C18" s="23"/>
      <c r="D18" s="42" t="s">
        <v>23</v>
      </c>
      <c r="E18" s="41">
        <v>377943</v>
      </c>
      <c r="F18" s="41">
        <v>221980</v>
      </c>
      <c r="G18" s="41">
        <v>150590</v>
      </c>
      <c r="H18" s="41">
        <v>157249</v>
      </c>
      <c r="I18" s="41">
        <v>119021</v>
      </c>
      <c r="J18" s="41">
        <v>109855</v>
      </c>
      <c r="K18" s="20"/>
      <c r="L18" s="20"/>
      <c r="M18" s="41">
        <v>2795584</v>
      </c>
      <c r="N18" s="41">
        <v>1376738</v>
      </c>
      <c r="O18" s="41">
        <v>799030</v>
      </c>
      <c r="P18" s="41">
        <v>549927</v>
      </c>
      <c r="Q18" s="41">
        <v>426513</v>
      </c>
      <c r="R18" s="41">
        <v>258616</v>
      </c>
      <c r="S18" s="20"/>
      <c r="T18" s="20"/>
      <c r="U18" s="41">
        <v>32744134</v>
      </c>
      <c r="V18" s="41">
        <v>17434540</v>
      </c>
      <c r="W18" s="41">
        <v>8982029</v>
      </c>
      <c r="X18" s="41">
        <v>5524253</v>
      </c>
      <c r="Y18" s="41">
        <v>5527593</v>
      </c>
      <c r="Z18" s="41">
        <v>3793862</v>
      </c>
      <c r="AA18" s="20"/>
      <c r="AB18" s="20"/>
      <c r="AC18" s="41">
        <v>677821071</v>
      </c>
      <c r="AD18" s="41">
        <v>189244063</v>
      </c>
      <c r="AE18" s="41">
        <v>97983410</v>
      </c>
      <c r="AF18" s="41">
        <v>57582719</v>
      </c>
      <c r="AG18" s="41">
        <v>62508818</v>
      </c>
      <c r="AH18" s="43">
        <v>43111878</v>
      </c>
      <c r="AI18" s="21"/>
    </row>
    <row r="19" spans="2:35" x14ac:dyDescent="0.35">
      <c r="B19" s="30"/>
      <c r="C19" s="23"/>
      <c r="D19" s="42" t="s">
        <v>24</v>
      </c>
      <c r="E19" s="41">
        <v>377734</v>
      </c>
      <c r="F19" s="41">
        <v>218121</v>
      </c>
      <c r="G19" s="41">
        <v>164606</v>
      </c>
      <c r="H19" s="41">
        <v>135312</v>
      </c>
      <c r="I19" s="41">
        <v>110486</v>
      </c>
      <c r="J19" s="41">
        <v>96240</v>
      </c>
      <c r="K19" s="20"/>
      <c r="L19" s="20"/>
      <c r="M19" s="41">
        <v>2748632</v>
      </c>
      <c r="N19" s="41">
        <v>1368989</v>
      </c>
      <c r="O19" s="41">
        <v>809741</v>
      </c>
      <c r="P19" s="41">
        <v>519747</v>
      </c>
      <c r="Q19" s="41">
        <v>411873</v>
      </c>
      <c r="R19" s="41">
        <v>277724</v>
      </c>
      <c r="S19" s="20"/>
      <c r="T19" s="20"/>
      <c r="U19" s="41">
        <v>33599927</v>
      </c>
      <c r="V19" s="41">
        <v>17311973</v>
      </c>
      <c r="W19" s="41">
        <v>9262161</v>
      </c>
      <c r="X19" s="41">
        <v>5239636</v>
      </c>
      <c r="Y19" s="41">
        <v>5531036</v>
      </c>
      <c r="Z19" s="41">
        <v>3755992</v>
      </c>
      <c r="AA19" s="20"/>
      <c r="AB19" s="20"/>
      <c r="AC19" s="41">
        <v>638858835</v>
      </c>
      <c r="AD19" s="41">
        <v>189614912</v>
      </c>
      <c r="AE19" s="41">
        <v>97131970</v>
      </c>
      <c r="AF19" s="41">
        <v>57239497</v>
      </c>
      <c r="AG19" s="41">
        <v>62732673</v>
      </c>
      <c r="AH19" s="43">
        <v>43323239</v>
      </c>
      <c r="AI19" s="21"/>
    </row>
    <row r="20" spans="2:35" x14ac:dyDescent="0.35">
      <c r="B20" s="30"/>
      <c r="C20" s="23"/>
      <c r="D20" s="42" t="s">
        <v>25</v>
      </c>
      <c r="E20" s="41">
        <v>436283</v>
      </c>
      <c r="F20" s="41">
        <v>223889</v>
      </c>
      <c r="G20" s="41">
        <v>153145</v>
      </c>
      <c r="H20" s="41">
        <v>144775</v>
      </c>
      <c r="I20" s="41">
        <v>108158</v>
      </c>
      <c r="J20" s="41">
        <v>109431</v>
      </c>
      <c r="K20" s="20"/>
      <c r="L20" s="20"/>
      <c r="M20" s="41">
        <v>2813018</v>
      </c>
      <c r="N20" s="41">
        <v>1403051</v>
      </c>
      <c r="O20" s="41">
        <v>879502</v>
      </c>
      <c r="P20" s="41">
        <v>521345</v>
      </c>
      <c r="Q20" s="41">
        <v>420671</v>
      </c>
      <c r="R20" s="41">
        <v>258043</v>
      </c>
      <c r="S20" s="20"/>
      <c r="T20" s="20"/>
      <c r="U20" s="41">
        <v>33426133</v>
      </c>
      <c r="V20" s="41">
        <v>17906317</v>
      </c>
      <c r="W20" s="41">
        <v>9708372</v>
      </c>
      <c r="X20" s="41">
        <v>5314286</v>
      </c>
      <c r="Y20" s="41">
        <v>5868695</v>
      </c>
      <c r="Z20" s="41">
        <v>3680779</v>
      </c>
      <c r="AA20" s="20"/>
      <c r="AB20" s="20"/>
      <c r="AC20" s="41">
        <v>343214497</v>
      </c>
      <c r="AD20" s="41">
        <v>188544818</v>
      </c>
      <c r="AE20" s="41">
        <v>98100704</v>
      </c>
      <c r="AF20" s="41">
        <v>57929813</v>
      </c>
      <c r="AG20" s="41">
        <v>62598496</v>
      </c>
      <c r="AH20" s="43">
        <v>44383887</v>
      </c>
      <c r="AI20" s="21"/>
    </row>
    <row r="21" spans="2:35" x14ac:dyDescent="0.35">
      <c r="B21" s="30"/>
      <c r="C21" s="23"/>
      <c r="D21" s="42" t="s">
        <v>26</v>
      </c>
      <c r="E21" s="41">
        <v>412209</v>
      </c>
      <c r="F21" s="41">
        <v>226175</v>
      </c>
      <c r="G21" s="41">
        <v>165734</v>
      </c>
      <c r="H21" s="41">
        <v>109975</v>
      </c>
      <c r="I21" s="41">
        <v>96849</v>
      </c>
      <c r="J21" s="41">
        <v>103691</v>
      </c>
      <c r="K21" s="20"/>
      <c r="L21" s="20"/>
      <c r="M21" s="41">
        <v>2769929</v>
      </c>
      <c r="N21" s="41">
        <v>1437878</v>
      </c>
      <c r="O21" s="41">
        <v>824550</v>
      </c>
      <c r="P21" s="41">
        <v>542652</v>
      </c>
      <c r="Q21" s="41">
        <v>430515</v>
      </c>
      <c r="R21" s="41">
        <v>259238</v>
      </c>
      <c r="S21" s="20"/>
      <c r="T21" s="20"/>
      <c r="U21" s="41">
        <v>33990956</v>
      </c>
      <c r="V21" s="41">
        <v>17347091</v>
      </c>
      <c r="W21" s="41">
        <v>9392234</v>
      </c>
      <c r="X21" s="41">
        <v>5281619</v>
      </c>
      <c r="Y21" s="41">
        <v>5489570</v>
      </c>
      <c r="Z21" s="41">
        <v>3809770</v>
      </c>
      <c r="AA21" s="20"/>
      <c r="AB21" s="20"/>
      <c r="AC21" s="41">
        <v>636539843</v>
      </c>
      <c r="AD21" s="41">
        <v>188612930</v>
      </c>
      <c r="AE21" s="41">
        <v>97518804</v>
      </c>
      <c r="AF21" s="41">
        <v>57620625</v>
      </c>
      <c r="AG21" s="41">
        <v>62212290</v>
      </c>
      <c r="AH21" s="43">
        <v>43181855</v>
      </c>
      <c r="AI21" s="21"/>
    </row>
    <row r="22" spans="2:35" x14ac:dyDescent="0.35">
      <c r="B22" s="30"/>
      <c r="C22" s="23"/>
      <c r="D22" s="42" t="s">
        <v>27</v>
      </c>
      <c r="E22" s="41">
        <v>376704</v>
      </c>
      <c r="F22" s="41">
        <v>233574</v>
      </c>
      <c r="G22" s="41">
        <v>164718</v>
      </c>
      <c r="H22" s="41">
        <v>168173</v>
      </c>
      <c r="I22" s="41">
        <v>118598</v>
      </c>
      <c r="J22" s="41">
        <v>111928</v>
      </c>
      <c r="K22" s="20"/>
      <c r="L22" s="20"/>
      <c r="M22" s="41">
        <v>2780041</v>
      </c>
      <c r="N22" s="41">
        <v>1407073</v>
      </c>
      <c r="O22" s="41">
        <v>778785</v>
      </c>
      <c r="P22" s="41">
        <v>544070</v>
      </c>
      <c r="Q22" s="41">
        <v>438713</v>
      </c>
      <c r="R22" s="41">
        <v>257474</v>
      </c>
      <c r="S22" s="20"/>
      <c r="T22" s="20"/>
      <c r="U22" s="41">
        <v>34506693</v>
      </c>
      <c r="V22" s="41">
        <v>17078705</v>
      </c>
      <c r="W22" s="41">
        <v>8985762</v>
      </c>
      <c r="X22" s="41">
        <v>5627084</v>
      </c>
      <c r="Y22" s="41">
        <v>5598460</v>
      </c>
      <c r="Z22" s="41">
        <v>3872921</v>
      </c>
      <c r="AA22" s="20"/>
      <c r="AB22" s="20"/>
      <c r="AC22" s="41">
        <v>345746521</v>
      </c>
      <c r="AD22" s="41">
        <v>189999828</v>
      </c>
      <c r="AE22" s="41">
        <v>96868002</v>
      </c>
      <c r="AF22" s="41">
        <v>55968196</v>
      </c>
      <c r="AG22" s="41">
        <v>62681834</v>
      </c>
      <c r="AH22" s="43">
        <v>43304299</v>
      </c>
      <c r="AI22" s="21"/>
    </row>
    <row r="23" spans="2:35" x14ac:dyDescent="0.35">
      <c r="B23" s="30"/>
      <c r="C23" s="23"/>
      <c r="D23" s="42" t="s">
        <v>28</v>
      </c>
      <c r="E23" s="41">
        <v>341174</v>
      </c>
      <c r="F23" s="41">
        <v>229485</v>
      </c>
      <c r="G23" s="41">
        <v>167028</v>
      </c>
      <c r="H23" s="41">
        <v>125651</v>
      </c>
      <c r="I23" s="41">
        <v>96814</v>
      </c>
      <c r="J23" s="41">
        <v>107783</v>
      </c>
      <c r="K23" s="20"/>
      <c r="L23" s="20"/>
      <c r="M23" s="41">
        <v>2731843</v>
      </c>
      <c r="N23" s="41">
        <v>1457484</v>
      </c>
      <c r="O23" s="41">
        <v>876248</v>
      </c>
      <c r="P23" s="41">
        <v>525341</v>
      </c>
      <c r="Q23" s="41">
        <v>482542</v>
      </c>
      <c r="R23" s="41">
        <v>314782</v>
      </c>
      <c r="S23" s="20"/>
      <c r="T23" s="20"/>
      <c r="U23" s="41">
        <v>32837885</v>
      </c>
      <c r="V23" s="41">
        <v>17482419</v>
      </c>
      <c r="W23" s="41">
        <v>9447343</v>
      </c>
      <c r="X23" s="41">
        <v>5396057</v>
      </c>
      <c r="Y23" s="41">
        <v>5798518</v>
      </c>
      <c r="Z23" s="41">
        <v>3820969</v>
      </c>
      <c r="AA23" s="20"/>
      <c r="AB23" s="20"/>
      <c r="AC23" s="41">
        <v>348006299</v>
      </c>
      <c r="AD23" s="41">
        <v>190845443</v>
      </c>
      <c r="AE23" s="41">
        <v>98096383</v>
      </c>
      <c r="AF23" s="41">
        <v>57328315</v>
      </c>
      <c r="AG23" s="41">
        <v>62812508</v>
      </c>
      <c r="AH23" s="43">
        <v>42602128</v>
      </c>
      <c r="AI23" s="21"/>
    </row>
    <row r="24" spans="2:35" x14ac:dyDescent="0.35">
      <c r="B24" s="30"/>
      <c r="C24" s="23"/>
      <c r="D24" s="42" t="s">
        <v>29</v>
      </c>
      <c r="E24" s="41">
        <v>412216</v>
      </c>
      <c r="F24" s="41">
        <v>227523</v>
      </c>
      <c r="G24" s="41">
        <v>172891</v>
      </c>
      <c r="H24" s="41">
        <v>155723</v>
      </c>
      <c r="I24" s="41">
        <v>117418</v>
      </c>
      <c r="J24" s="41">
        <v>110797</v>
      </c>
      <c r="K24" s="20"/>
      <c r="L24" s="20"/>
      <c r="M24" s="41">
        <v>2816313</v>
      </c>
      <c r="N24" s="41">
        <v>1446095</v>
      </c>
      <c r="O24" s="41">
        <v>894914</v>
      </c>
      <c r="P24" s="41">
        <v>508086</v>
      </c>
      <c r="Q24" s="41">
        <v>413199</v>
      </c>
      <c r="R24" s="41">
        <v>263028</v>
      </c>
      <c r="S24" s="20"/>
      <c r="T24" s="20"/>
      <c r="U24" s="41">
        <v>33155490</v>
      </c>
      <c r="V24" s="41">
        <v>17172949</v>
      </c>
      <c r="W24" s="41">
        <v>9096839</v>
      </c>
      <c r="X24" s="41">
        <v>5424030</v>
      </c>
      <c r="Y24" s="41">
        <v>5717685</v>
      </c>
      <c r="Z24" s="41">
        <v>3807691</v>
      </c>
      <c r="AA24" s="20"/>
      <c r="AB24" s="20"/>
      <c r="AC24" s="41">
        <v>343094760</v>
      </c>
      <c r="AD24" s="41">
        <v>189787972</v>
      </c>
      <c r="AE24" s="41">
        <v>97227578</v>
      </c>
      <c r="AF24" s="41">
        <v>57566342</v>
      </c>
      <c r="AG24" s="41">
        <v>62501993</v>
      </c>
      <c r="AH24" s="43">
        <v>42711102</v>
      </c>
      <c r="AI24" s="21"/>
    </row>
    <row r="25" spans="2:35" x14ac:dyDescent="0.35">
      <c r="B25" s="30"/>
      <c r="C25" s="23"/>
      <c r="D25" s="42" t="s">
        <v>30</v>
      </c>
      <c r="E25" s="41">
        <v>414185</v>
      </c>
      <c r="F25" s="41">
        <v>228051</v>
      </c>
      <c r="G25" s="41">
        <v>171853</v>
      </c>
      <c r="H25" s="41">
        <v>116874</v>
      </c>
      <c r="I25" s="41">
        <v>58806</v>
      </c>
      <c r="J25" s="41">
        <v>86174</v>
      </c>
      <c r="K25" s="20"/>
      <c r="L25" s="20"/>
      <c r="M25" s="41">
        <v>2741219</v>
      </c>
      <c r="N25" s="41">
        <v>1444791</v>
      </c>
      <c r="O25" s="41">
        <v>999284</v>
      </c>
      <c r="P25" s="41">
        <v>516410</v>
      </c>
      <c r="Q25" s="41">
        <v>434553</v>
      </c>
      <c r="R25" s="41">
        <v>263188</v>
      </c>
      <c r="S25" s="20"/>
      <c r="T25" s="20"/>
      <c r="U25" s="41">
        <v>31425313</v>
      </c>
      <c r="V25" s="41">
        <v>17375441</v>
      </c>
      <c r="W25" s="41">
        <v>8940371</v>
      </c>
      <c r="X25" s="41">
        <v>5351104</v>
      </c>
      <c r="Y25" s="41">
        <v>5767268</v>
      </c>
      <c r="Z25" s="41">
        <v>3739530</v>
      </c>
      <c r="AA25" s="20"/>
      <c r="AB25" s="20"/>
      <c r="AC25" s="41">
        <v>374827051</v>
      </c>
      <c r="AD25" s="41">
        <v>199269424</v>
      </c>
      <c r="AE25" s="41">
        <v>97699482</v>
      </c>
      <c r="AF25" s="41">
        <v>57942762</v>
      </c>
      <c r="AG25" s="41">
        <v>62753848</v>
      </c>
      <c r="AH25" s="43">
        <v>42699776</v>
      </c>
      <c r="AI25" s="21"/>
    </row>
    <row r="26" spans="2:35" x14ac:dyDescent="0.35">
      <c r="B26" s="30"/>
      <c r="C26" s="23"/>
      <c r="D26" s="42" t="s">
        <v>31</v>
      </c>
      <c r="E26" s="41">
        <v>373140</v>
      </c>
      <c r="F26" s="41">
        <v>187749</v>
      </c>
      <c r="G26" s="41">
        <v>162330</v>
      </c>
      <c r="H26" s="41">
        <v>142862</v>
      </c>
      <c r="I26" s="41">
        <v>122597</v>
      </c>
      <c r="J26" s="41">
        <v>103382</v>
      </c>
      <c r="K26" s="20"/>
      <c r="L26" s="20"/>
      <c r="M26" s="41">
        <v>2828928</v>
      </c>
      <c r="N26" s="41">
        <v>1394148</v>
      </c>
      <c r="O26" s="41">
        <v>765506</v>
      </c>
      <c r="P26" s="41">
        <v>527689</v>
      </c>
      <c r="Q26" s="41">
        <v>478283</v>
      </c>
      <c r="R26" s="41">
        <v>262552</v>
      </c>
      <c r="S26" s="20"/>
      <c r="T26" s="20"/>
      <c r="U26" s="41">
        <v>31533246</v>
      </c>
      <c r="V26" s="41">
        <v>17633182</v>
      </c>
      <c r="W26" s="41">
        <v>9022065</v>
      </c>
      <c r="X26" s="41">
        <v>5420902</v>
      </c>
      <c r="Y26" s="41">
        <v>5544548</v>
      </c>
      <c r="Z26" s="41">
        <v>3752511</v>
      </c>
      <c r="AA26" s="20"/>
      <c r="AB26" s="20"/>
      <c r="AC26" s="41">
        <v>661440846</v>
      </c>
      <c r="AD26" s="41">
        <v>187884920</v>
      </c>
      <c r="AE26" s="41">
        <v>97623058</v>
      </c>
      <c r="AF26" s="41">
        <v>57802959</v>
      </c>
      <c r="AG26" s="41">
        <v>62509389</v>
      </c>
      <c r="AH26" s="43">
        <v>43446818</v>
      </c>
      <c r="AI26" s="21"/>
    </row>
    <row r="27" spans="2:35" x14ac:dyDescent="0.35">
      <c r="B27" s="30"/>
      <c r="C27" s="23"/>
      <c r="D27" s="42" t="s">
        <v>32</v>
      </c>
      <c r="E27" s="41">
        <v>377229</v>
      </c>
      <c r="F27" s="41">
        <v>269257</v>
      </c>
      <c r="G27" s="41">
        <v>127949</v>
      </c>
      <c r="H27" s="41">
        <v>139618</v>
      </c>
      <c r="I27" s="41">
        <v>118128</v>
      </c>
      <c r="J27" s="41">
        <v>112139</v>
      </c>
      <c r="K27" s="20"/>
      <c r="L27" s="20"/>
      <c r="M27" s="41">
        <v>2816401</v>
      </c>
      <c r="N27" s="41">
        <v>1449179</v>
      </c>
      <c r="O27" s="41">
        <v>756729</v>
      </c>
      <c r="P27" s="41">
        <v>617784</v>
      </c>
      <c r="Q27" s="41">
        <v>436733</v>
      </c>
      <c r="R27" s="41">
        <v>294842</v>
      </c>
      <c r="S27" s="20"/>
      <c r="T27" s="20"/>
      <c r="U27" s="41">
        <v>26649657</v>
      </c>
      <c r="V27" s="41">
        <v>17277006</v>
      </c>
      <c r="W27" s="41">
        <v>9159624</v>
      </c>
      <c r="X27" s="41">
        <v>5357049</v>
      </c>
      <c r="Y27" s="41">
        <v>5823795</v>
      </c>
      <c r="Z27" s="41">
        <v>3719093</v>
      </c>
      <c r="AA27" s="20"/>
      <c r="AB27" s="20"/>
      <c r="AC27" s="41">
        <v>638977430</v>
      </c>
      <c r="AD27" s="41">
        <v>186345106</v>
      </c>
      <c r="AE27" s="41">
        <v>97463318</v>
      </c>
      <c r="AF27" s="41">
        <v>57755374</v>
      </c>
      <c r="AG27" s="41">
        <v>62801776</v>
      </c>
      <c r="AH27" s="43">
        <v>43129184</v>
      </c>
      <c r="AI27" s="21"/>
    </row>
    <row r="28" spans="2:35" x14ac:dyDescent="0.35">
      <c r="B28" s="30"/>
      <c r="C28" s="23"/>
      <c r="D28" s="42" t="s">
        <v>33</v>
      </c>
      <c r="E28" s="41">
        <v>404373</v>
      </c>
      <c r="F28" s="41">
        <v>228124</v>
      </c>
      <c r="G28" s="41">
        <v>144329</v>
      </c>
      <c r="H28" s="41">
        <v>151875</v>
      </c>
      <c r="I28" s="41">
        <v>123848</v>
      </c>
      <c r="J28" s="41">
        <v>103765</v>
      </c>
      <c r="K28" s="20"/>
      <c r="L28" s="20"/>
      <c r="M28" s="41">
        <v>2797089</v>
      </c>
      <c r="N28" s="41">
        <v>1493346</v>
      </c>
      <c r="O28" s="41">
        <v>858007</v>
      </c>
      <c r="P28" s="41">
        <v>552920</v>
      </c>
      <c r="Q28" s="41">
        <v>452001</v>
      </c>
      <c r="R28" s="41">
        <v>258474</v>
      </c>
      <c r="S28" s="20"/>
      <c r="T28" s="20"/>
      <c r="U28" s="41">
        <v>32408741</v>
      </c>
      <c r="V28" s="41">
        <v>17491910</v>
      </c>
      <c r="W28" s="41">
        <v>9152685</v>
      </c>
      <c r="X28" s="41">
        <v>5255741</v>
      </c>
      <c r="Y28" s="41">
        <v>5659791</v>
      </c>
      <c r="Z28" s="41">
        <v>3827791</v>
      </c>
      <c r="AA28" s="20"/>
      <c r="AB28" s="20"/>
      <c r="AC28" s="41">
        <v>331981977</v>
      </c>
      <c r="AD28" s="41">
        <v>186303324</v>
      </c>
      <c r="AE28" s="41">
        <v>100498141</v>
      </c>
      <c r="AF28" s="41">
        <v>57538091</v>
      </c>
      <c r="AG28" s="41">
        <v>63005732</v>
      </c>
      <c r="AH28" s="43">
        <v>42408239</v>
      </c>
      <c r="AI28" s="21"/>
    </row>
    <row r="29" spans="2:35" x14ac:dyDescent="0.35">
      <c r="B29" s="30"/>
      <c r="C29" s="23"/>
      <c r="D29" s="42" t="s">
        <v>34</v>
      </c>
      <c r="E29" s="41">
        <v>380769</v>
      </c>
      <c r="F29" s="41">
        <v>227170</v>
      </c>
      <c r="G29" s="41">
        <v>143646</v>
      </c>
      <c r="H29" s="41">
        <v>157505</v>
      </c>
      <c r="I29" s="41">
        <v>125286</v>
      </c>
      <c r="J29" s="41">
        <v>106964</v>
      </c>
      <c r="K29" s="20"/>
      <c r="L29" s="20"/>
      <c r="M29" s="41">
        <v>2898295</v>
      </c>
      <c r="N29" s="41">
        <v>1408282</v>
      </c>
      <c r="O29" s="41">
        <v>929373</v>
      </c>
      <c r="P29" s="41">
        <v>579656</v>
      </c>
      <c r="Q29" s="41">
        <v>437777</v>
      </c>
      <c r="R29" s="41">
        <v>260130</v>
      </c>
      <c r="S29" s="20"/>
      <c r="T29" s="20"/>
      <c r="U29" s="41">
        <v>33729938</v>
      </c>
      <c r="V29" s="41">
        <v>17605448</v>
      </c>
      <c r="W29" s="41">
        <v>9304052</v>
      </c>
      <c r="X29" s="41">
        <v>5274763</v>
      </c>
      <c r="Y29" s="41">
        <v>5662407</v>
      </c>
      <c r="Z29" s="41">
        <v>3835003</v>
      </c>
      <c r="AA29" s="20"/>
      <c r="AB29" s="20"/>
      <c r="AC29" s="41">
        <v>407383042</v>
      </c>
      <c r="AD29" s="41">
        <v>189733419</v>
      </c>
      <c r="AE29" s="41">
        <v>95799805</v>
      </c>
      <c r="AF29" s="41">
        <v>58307486</v>
      </c>
      <c r="AG29" s="41">
        <v>62400793</v>
      </c>
      <c r="AH29" s="43">
        <v>42842103</v>
      </c>
      <c r="AI29" s="21"/>
    </row>
    <row r="30" spans="2:35" x14ac:dyDescent="0.35">
      <c r="B30" s="30"/>
      <c r="C30" s="23"/>
      <c r="D30" s="42" t="s">
        <v>35</v>
      </c>
      <c r="E30" s="41">
        <v>401044</v>
      </c>
      <c r="F30" s="41">
        <v>222583</v>
      </c>
      <c r="G30" s="41">
        <v>157957</v>
      </c>
      <c r="H30" s="41">
        <v>155147</v>
      </c>
      <c r="I30" s="41">
        <v>91550</v>
      </c>
      <c r="J30" s="41">
        <v>114324</v>
      </c>
      <c r="K30" s="20"/>
      <c r="L30" s="20"/>
      <c r="M30" s="41">
        <v>2777195</v>
      </c>
      <c r="N30" s="41">
        <v>1415427</v>
      </c>
      <c r="O30" s="41">
        <v>817008</v>
      </c>
      <c r="P30" s="41">
        <v>535124</v>
      </c>
      <c r="Q30" s="41">
        <v>428147</v>
      </c>
      <c r="R30" s="41">
        <v>265383</v>
      </c>
      <c r="S30" s="20"/>
      <c r="T30" s="20"/>
      <c r="U30" s="41">
        <v>34738623</v>
      </c>
      <c r="V30" s="41">
        <v>18105537</v>
      </c>
      <c r="W30" s="41">
        <v>9042824</v>
      </c>
      <c r="X30" s="41">
        <v>5456357</v>
      </c>
      <c r="Y30" s="41">
        <v>5674209</v>
      </c>
      <c r="Z30" s="41">
        <v>3879838</v>
      </c>
      <c r="AA30" s="20"/>
      <c r="AB30" s="20"/>
      <c r="AC30" s="41">
        <v>360690078</v>
      </c>
      <c r="AD30" s="41">
        <v>190042457</v>
      </c>
      <c r="AE30" s="41">
        <v>98401944</v>
      </c>
      <c r="AF30" s="41">
        <v>58116547</v>
      </c>
      <c r="AG30" s="41">
        <v>61837894</v>
      </c>
      <c r="AH30" s="43">
        <v>42181966</v>
      </c>
      <c r="AI30" s="21"/>
    </row>
    <row r="31" spans="2:35" x14ac:dyDescent="0.35">
      <c r="B31" s="30"/>
      <c r="C31" s="23"/>
      <c r="D31" s="42" t="s">
        <v>36</v>
      </c>
      <c r="E31" s="41">
        <v>399006</v>
      </c>
      <c r="F31" s="41">
        <v>218320</v>
      </c>
      <c r="G31" s="41">
        <v>160620</v>
      </c>
      <c r="H31" s="41">
        <v>154822</v>
      </c>
      <c r="I31" s="41">
        <v>123663</v>
      </c>
      <c r="J31" s="41">
        <v>110720</v>
      </c>
      <c r="K31" s="20"/>
      <c r="L31" s="20"/>
      <c r="M31" s="41">
        <v>2725081</v>
      </c>
      <c r="N31" s="41">
        <v>1399460</v>
      </c>
      <c r="O31" s="41">
        <v>807668</v>
      </c>
      <c r="P31" s="41">
        <v>561806</v>
      </c>
      <c r="Q31" s="41">
        <v>482931</v>
      </c>
      <c r="R31" s="41">
        <v>301131</v>
      </c>
      <c r="S31" s="20"/>
      <c r="T31" s="20"/>
      <c r="U31" s="41">
        <v>34636266</v>
      </c>
      <c r="V31" s="41">
        <v>17755825</v>
      </c>
      <c r="W31" s="41">
        <v>8996858</v>
      </c>
      <c r="X31" s="41">
        <v>5373316</v>
      </c>
      <c r="Y31" s="41">
        <v>5752535</v>
      </c>
      <c r="Z31" s="41">
        <v>3721064</v>
      </c>
      <c r="AA31" s="20"/>
      <c r="AB31" s="20"/>
      <c r="AC31" s="41">
        <v>643903453</v>
      </c>
      <c r="AD31" s="41">
        <v>186744317</v>
      </c>
      <c r="AE31" s="41">
        <v>97164193</v>
      </c>
      <c r="AF31" s="41">
        <v>57740111</v>
      </c>
      <c r="AG31" s="41">
        <v>62074752</v>
      </c>
      <c r="AH31" s="43">
        <v>42957973</v>
      </c>
      <c r="AI31" s="21"/>
    </row>
    <row r="32" spans="2:35" x14ac:dyDescent="0.35">
      <c r="B32" s="30"/>
      <c r="C32" s="23"/>
      <c r="D32" s="42" t="s">
        <v>37</v>
      </c>
      <c r="E32" s="41">
        <v>348926</v>
      </c>
      <c r="F32" s="41">
        <v>222623</v>
      </c>
      <c r="G32" s="41">
        <v>167183</v>
      </c>
      <c r="H32" s="41">
        <v>153075</v>
      </c>
      <c r="I32" s="41">
        <v>96276</v>
      </c>
      <c r="J32" s="41">
        <v>113096</v>
      </c>
      <c r="K32" s="20"/>
      <c r="L32" s="20"/>
      <c r="M32" s="41">
        <v>2807180</v>
      </c>
      <c r="N32" s="41">
        <v>1406874</v>
      </c>
      <c r="O32" s="41">
        <v>820585</v>
      </c>
      <c r="P32" s="41">
        <v>522555</v>
      </c>
      <c r="Q32" s="41">
        <v>483450</v>
      </c>
      <c r="R32" s="41">
        <v>264954</v>
      </c>
      <c r="S32" s="20"/>
      <c r="T32" s="20"/>
      <c r="U32" s="41">
        <v>33910091</v>
      </c>
      <c r="V32" s="41">
        <v>17655163</v>
      </c>
      <c r="W32" s="41">
        <v>8938823</v>
      </c>
      <c r="X32" s="41">
        <v>5589456</v>
      </c>
      <c r="Y32" s="41">
        <v>5827748</v>
      </c>
      <c r="Z32" s="41">
        <v>3825279</v>
      </c>
      <c r="AA32" s="20"/>
      <c r="AB32" s="20"/>
      <c r="AC32" s="41">
        <v>467451339</v>
      </c>
      <c r="AD32" s="41">
        <v>184462056</v>
      </c>
      <c r="AE32" s="41">
        <v>97259299</v>
      </c>
      <c r="AF32" s="41">
        <v>56862786</v>
      </c>
      <c r="AG32" s="41">
        <v>62774095</v>
      </c>
      <c r="AH32" s="43">
        <v>43129367</v>
      </c>
      <c r="AI32" s="21"/>
    </row>
    <row r="33" spans="2:35" x14ac:dyDescent="0.35">
      <c r="B33" s="30"/>
      <c r="C33" s="23"/>
      <c r="D33" s="42" t="s">
        <v>38</v>
      </c>
      <c r="E33" s="41">
        <v>445114</v>
      </c>
      <c r="F33" s="41">
        <v>234097</v>
      </c>
      <c r="G33" s="41">
        <v>175846</v>
      </c>
      <c r="H33" s="41">
        <v>144332</v>
      </c>
      <c r="I33" s="41">
        <v>89944</v>
      </c>
      <c r="J33" s="41">
        <v>117060</v>
      </c>
      <c r="K33" s="20"/>
      <c r="L33" s="20"/>
      <c r="M33" s="41">
        <v>2865613</v>
      </c>
      <c r="N33" s="41">
        <v>1455521</v>
      </c>
      <c r="O33" s="41">
        <v>755823</v>
      </c>
      <c r="P33" s="41">
        <v>536848</v>
      </c>
      <c r="Q33" s="41">
        <v>436745</v>
      </c>
      <c r="R33" s="41">
        <v>252844</v>
      </c>
      <c r="S33" s="20"/>
      <c r="T33" s="20"/>
      <c r="U33" s="41">
        <v>30688630</v>
      </c>
      <c r="V33" s="41">
        <v>17048648</v>
      </c>
      <c r="W33" s="41">
        <v>8930158</v>
      </c>
      <c r="X33" s="41">
        <v>5511124</v>
      </c>
      <c r="Y33" s="41">
        <v>5535425</v>
      </c>
      <c r="Z33" s="41">
        <v>3715738</v>
      </c>
      <c r="AA33" s="20"/>
      <c r="AB33" s="20"/>
      <c r="AC33" s="41">
        <v>578715214</v>
      </c>
      <c r="AD33" s="41">
        <v>189289617</v>
      </c>
      <c r="AE33" s="41">
        <v>96790943</v>
      </c>
      <c r="AF33" s="41">
        <v>57987885</v>
      </c>
      <c r="AG33" s="41">
        <v>62534441</v>
      </c>
      <c r="AH33" s="43">
        <v>43655770</v>
      </c>
      <c r="AI33" s="21"/>
    </row>
    <row r="34" spans="2:35" x14ac:dyDescent="0.35">
      <c r="B34" s="30"/>
      <c r="C34" s="23"/>
      <c r="D34" s="42" t="s">
        <v>39</v>
      </c>
      <c r="E34" s="41">
        <v>381660</v>
      </c>
      <c r="F34" s="41">
        <v>219435</v>
      </c>
      <c r="G34" s="41">
        <v>204393</v>
      </c>
      <c r="H34" s="41">
        <v>151178</v>
      </c>
      <c r="I34" s="41">
        <v>118601</v>
      </c>
      <c r="J34" s="41">
        <v>112077</v>
      </c>
      <c r="K34" s="20"/>
      <c r="L34" s="20"/>
      <c r="M34" s="41">
        <v>2859911</v>
      </c>
      <c r="N34" s="41">
        <v>1392281</v>
      </c>
      <c r="O34" s="41">
        <v>932962</v>
      </c>
      <c r="P34" s="41">
        <v>556676</v>
      </c>
      <c r="Q34" s="41">
        <v>456600</v>
      </c>
      <c r="R34" s="41">
        <v>262435</v>
      </c>
      <c r="S34" s="20"/>
      <c r="T34" s="20"/>
      <c r="U34" s="41">
        <v>32699163</v>
      </c>
      <c r="V34" s="41">
        <v>16895488</v>
      </c>
      <c r="W34" s="41">
        <v>9081301</v>
      </c>
      <c r="X34" s="41">
        <v>5348747</v>
      </c>
      <c r="Y34" s="41">
        <v>5525841</v>
      </c>
      <c r="Z34" s="41">
        <v>3780503</v>
      </c>
      <c r="AA34" s="20"/>
      <c r="AB34" s="20"/>
      <c r="AC34" s="41">
        <v>269466122</v>
      </c>
      <c r="AD34" s="41">
        <v>185395826</v>
      </c>
      <c r="AE34" s="41">
        <v>98465325</v>
      </c>
      <c r="AF34" s="41">
        <v>57521995</v>
      </c>
      <c r="AG34" s="41">
        <v>62391375</v>
      </c>
      <c r="AH34" s="43">
        <v>42865703</v>
      </c>
      <c r="AI34" s="21"/>
    </row>
    <row r="35" spans="2:35" ht="15" thickBot="1" x14ac:dyDescent="0.4">
      <c r="B35" s="30"/>
      <c r="C35" s="24"/>
      <c r="D35" s="37" t="s">
        <v>44</v>
      </c>
      <c r="E35" s="25" cm="1">
        <f t="array" ref="E35">ROUND(AVERAGE(IF((ISNUMBER(E5:E34))*(E5:E34&lt;LARGE(E5:E34,2))*(E5:E34&gt;SMALL(E5:E34,2)),E5:E34)),0)</f>
        <v>395790</v>
      </c>
      <c r="F35" s="25" cm="1">
        <f t="array" ref="F35">ROUND(AVERAGE(IF((ISNUMBER(F5:F34))*(F5:F34&lt;LARGE(F5:F34,2))*(F5:F34&gt;SMALL(F5:F34,2)),F5:F34)),0)</f>
        <v>221549</v>
      </c>
      <c r="G35" s="25" cm="1">
        <f t="array" ref="G35">ROUND(AVERAGE(IF((ISNUMBER(G5:G34))*(G5:G34&lt;LARGE(G5:G34,2))*(G5:G34&gt;SMALL(G5:G34,2)),G5:G34)),0)</f>
        <v>161865</v>
      </c>
      <c r="H35" s="25" cm="1">
        <f t="array" ref="H35">ROUND(AVERAGE(IF((ISNUMBER(H5:H34))*(H5:H34&lt;LARGE(H5:H34,2))*(H5:H34&gt;SMALL(H5:H34,2)),H5:H34)),0)</f>
        <v>144469</v>
      </c>
      <c r="I35" s="25" cm="1">
        <f t="array" ref="I35">ROUND(AVERAGE(IF((ISNUMBER(I5:I34))*(I5:I34&lt;LARGE(I5:I34,2))*(I5:I34&gt;SMALL(I5:I34,2)),I5:I34)),0)</f>
        <v>109948</v>
      </c>
      <c r="J35" s="25" cm="1">
        <f t="array" ref="J35">ROUND(AVERAGE(IF((ISNUMBER(J5:J34))*(J5:J34&lt;LARGE(J5:J34,2))*(J5:J34&gt;SMALL(J5:J34,2)),J5:J34)),0)</f>
        <v>109489</v>
      </c>
      <c r="K35" s="25"/>
      <c r="L35" s="25"/>
      <c r="M35" s="25" cm="1">
        <f t="array" ref="M35">ROUND(AVERAGE(IF((ISNUMBER(M5:M34))*(M5:M34&lt;LARGE(M5:M34,2))*(M5:M34&gt;SMALL(M5:M34,2)),M5:M34)),0)</f>
        <v>2797186</v>
      </c>
      <c r="N35" s="25" cm="1">
        <f t="array" ref="N35">ROUND(AVERAGE(IF((ISNUMBER(N5:N34))*(N5:N34&lt;LARGE(N5:N34,2))*(N5:N34&gt;SMALL(N5:N34,2)),N5:N34)),0)</f>
        <v>1417962</v>
      </c>
      <c r="O35" s="25" cm="1">
        <f t="array" ref="O35">ROUND(AVERAGE(IF((ISNUMBER(O5:O34))*(O5:O34&lt;LARGE(O5:O34,2))*(O5:O34&gt;SMALL(O5:O34,2)),O5:O34)),0)</f>
        <v>831491</v>
      </c>
      <c r="P35" s="25" cm="1">
        <f t="array" ref="P35">ROUND(AVERAGE(IF((ISNUMBER(P5:P34))*(P5:P34&lt;LARGE(P5:P34,2))*(P5:P34&gt;SMALL(P5:P34,2)),P5:P34)),0)</f>
        <v>539708</v>
      </c>
      <c r="Q35" s="25" cm="1">
        <f t="array" ref="Q35">ROUND(AVERAGE(IF((ISNUMBER(Q5:Q34))*(Q5:Q34&lt;LARGE(Q5:Q34,2))*(Q5:Q34&gt;SMALL(Q5:Q34,2)),Q5:Q34)),0)</f>
        <v>439426</v>
      </c>
      <c r="R35" s="25" cm="1">
        <f t="array" ref="R35">ROUND(AVERAGE(IF((ISNUMBER(R5:R34))*(R5:R34&lt;LARGE(R5:R34,2))*(R5:R34&gt;SMALL(R5:R34,2)),R5:R34)),0)</f>
        <v>274450</v>
      </c>
      <c r="S35" s="25"/>
      <c r="T35" s="25"/>
      <c r="U35" s="25" cm="1">
        <f t="array" ref="U35">ROUND(AVERAGE(IF((ISNUMBER(U5:U34))*(U5:U34&lt;LARGE(U5:U34,2))*(U5:U34&gt;SMALL(U5:U34,2)),U5:U34)),0)</f>
        <v>33274558</v>
      </c>
      <c r="V35" s="25" cm="1">
        <f t="array" ref="V35">ROUND(AVERAGE(IF((ISNUMBER(V5:V34))*(V5:V34&lt;LARGE(V5:V34,2))*(V5:V34&gt;SMALL(V5:V34,2)),V5:V34)),0)</f>
        <v>17466949</v>
      </c>
      <c r="W35" s="25" cm="1">
        <f t="array" ref="W35">ROUND(AVERAGE(IF((ISNUMBER(W5:W34))*(W5:W34&lt;LARGE(W5:W34,2))*(W5:W34&gt;SMALL(W5:W34,2)),W5:W34)),0)</f>
        <v>9105632</v>
      </c>
      <c r="X35" s="25" cm="1">
        <f t="array" ref="X35">ROUND(AVERAGE(IF((ISNUMBER(X5:X34))*(X5:X34&lt;LARGE(X5:X34,2))*(X5:X34&gt;SMALL(X5:X34,2)),X5:X34)),0)</f>
        <v>5368779</v>
      </c>
      <c r="Y35" s="25" cm="1">
        <f t="array" ref="Y35">ROUND(AVERAGE(IF((ISNUMBER(Y5:Y34))*(Y5:Y34&lt;LARGE(Y5:Y34,2))*(Y5:Y34&gt;SMALL(Y5:Y34,2)),Y5:Y34)),0)</f>
        <v>5642010</v>
      </c>
      <c r="Z35" s="25" cm="1">
        <f t="array" ref="Z35">ROUND(AVERAGE(IF((ISNUMBER(Z5:Z34))*(Z5:Z34&lt;LARGE(Z5:Z34,2))*(Z5:Z34&gt;SMALL(Z5:Z34,2)),Z5:Z34)),0)</f>
        <v>3779028</v>
      </c>
      <c r="AA35" s="25"/>
      <c r="AB35" s="25"/>
      <c r="AC35" s="25" cm="1">
        <f t="array" ref="AC35">ROUND(AVERAGE(IF((ISNUMBER(AC5:AC34))*(AC5:AC34&lt;LARGE(AC5:AC34,2))*(AC5:AC34&gt;SMALL(AC5:AC34,2)),AC5:AC34)),0)</f>
        <v>534112516</v>
      </c>
      <c r="AD35" s="25" cm="1">
        <f t="array" ref="AD35">ROUND(AVERAGE(IF((ISNUMBER(AD5:AD34))*(AD5:AD34&lt;LARGE(AD5:AD34,2))*(AD5:AD34&gt;SMALL(AD5:AD34,2)),AD5:AD34)),0)</f>
        <v>188752044</v>
      </c>
      <c r="AE35" s="25" cm="1">
        <f t="array" ref="AE35">ROUND(AVERAGE(IF((ISNUMBER(AE5:AE34))*(AE5:AE34&lt;LARGE(AE5:AE34,2))*(AE5:AE34&gt;SMALL(AE5:AE34,2)),AE5:AE34)),0)</f>
        <v>97791893</v>
      </c>
      <c r="AF35" s="25" cm="1">
        <f t="array" ref="AF35">ROUND(AVERAGE(IF((ISNUMBER(AF5:AF34))*(AF5:AF34&lt;LARGE(AF5:AF34,2))*(AF5:AF34&gt;SMALL(AF5:AF34,2)),AF5:AF34)),0)</f>
        <v>57692937</v>
      </c>
      <c r="AG35" s="25" cm="1">
        <f t="array" ref="AG35">ROUND(AVERAGE(IF((ISNUMBER(AG5:AG34))*(AG5:AG34&lt;LARGE(AG5:AG34,2))*(AG5:AG34&gt;SMALL(AG5:AG34,2)),AG5:AG34)),0)</f>
        <v>62382517</v>
      </c>
      <c r="AH35" s="26" cm="1">
        <f t="array" ref="AH35">ROUND(AVERAGE(IF((ISNUMBER(AH5:AH34))*(AH5:AH34&lt;LARGE(AH5:AH34,2))*(AH5:AH34&gt;SMALL(AH5:AH34,2)),AH5:AH34)),0)</f>
        <v>42968365</v>
      </c>
      <c r="AI35" s="21"/>
    </row>
    <row r="36" spans="2:35" ht="15" thickBot="1" x14ac:dyDescent="0.4">
      <c r="B36" s="31"/>
      <c r="C36" s="28"/>
      <c r="D36" s="3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9"/>
    </row>
    <row r="37" spans="2:35" ht="15" thickBot="1" x14ac:dyDescent="0.4">
      <c r="B37" s="32"/>
      <c r="D37" s="1"/>
    </row>
    <row r="38" spans="2:35" ht="37" x14ac:dyDescent="0.85">
      <c r="B38" s="33" t="s">
        <v>41</v>
      </c>
      <c r="C38" s="15"/>
      <c r="D38" s="3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2:35" ht="15" thickBot="1" x14ac:dyDescent="0.4">
      <c r="B39" s="34"/>
      <c r="C39" s="19"/>
      <c r="D39" s="4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/>
    </row>
    <row r="40" spans="2:35" x14ac:dyDescent="0.35">
      <c r="B40" s="30"/>
      <c r="C40" s="44" t="s">
        <v>0</v>
      </c>
      <c r="D40" s="35"/>
      <c r="E40" s="35" t="s">
        <v>1</v>
      </c>
      <c r="F40" s="35" t="s">
        <v>2</v>
      </c>
      <c r="G40" s="35" t="s">
        <v>3</v>
      </c>
      <c r="H40" s="35" t="s">
        <v>4</v>
      </c>
      <c r="I40" s="35" t="s">
        <v>5</v>
      </c>
      <c r="J40" s="35" t="s">
        <v>6</v>
      </c>
      <c r="K40" s="46" t="s">
        <v>7</v>
      </c>
      <c r="L40" s="46"/>
      <c r="M40" s="35" t="s">
        <v>1</v>
      </c>
      <c r="N40" s="35" t="s">
        <v>2</v>
      </c>
      <c r="O40" s="35" t="s">
        <v>3</v>
      </c>
      <c r="P40" s="35" t="s">
        <v>4</v>
      </c>
      <c r="Q40" s="35" t="s">
        <v>5</v>
      </c>
      <c r="R40" s="35" t="s">
        <v>6</v>
      </c>
      <c r="S40" s="46" t="s">
        <v>8</v>
      </c>
      <c r="T40" s="46"/>
      <c r="U40" s="35" t="s">
        <v>1</v>
      </c>
      <c r="V40" s="35" t="s">
        <v>2</v>
      </c>
      <c r="W40" s="35" t="s">
        <v>3</v>
      </c>
      <c r="X40" s="35" t="s">
        <v>4</v>
      </c>
      <c r="Y40" s="35" t="s">
        <v>5</v>
      </c>
      <c r="Z40" s="35" t="s">
        <v>6</v>
      </c>
      <c r="AA40" s="46" t="s">
        <v>9</v>
      </c>
      <c r="AB40" s="46"/>
      <c r="AC40" s="35" t="s">
        <v>1</v>
      </c>
      <c r="AD40" s="35" t="s">
        <v>2</v>
      </c>
      <c r="AE40" s="35" t="s">
        <v>3</v>
      </c>
      <c r="AF40" s="35" t="s">
        <v>4</v>
      </c>
      <c r="AG40" s="35" t="s">
        <v>5</v>
      </c>
      <c r="AH40" s="36" t="s">
        <v>6</v>
      </c>
      <c r="AI40" s="21"/>
    </row>
    <row r="41" spans="2:35" x14ac:dyDescent="0.35">
      <c r="B41" s="30"/>
      <c r="C41" s="23"/>
      <c r="D41" s="42" t="s">
        <v>10</v>
      </c>
      <c r="E41" s="41">
        <v>168394</v>
      </c>
      <c r="F41" s="41">
        <v>64664</v>
      </c>
      <c r="G41" s="41">
        <v>79856</v>
      </c>
      <c r="H41" s="41">
        <v>54557</v>
      </c>
      <c r="I41" s="41">
        <v>50003</v>
      </c>
      <c r="J41" s="41">
        <v>24935</v>
      </c>
      <c r="K41" s="20"/>
      <c r="L41" s="20"/>
      <c r="M41" s="41">
        <v>989884</v>
      </c>
      <c r="N41" s="41">
        <v>538152</v>
      </c>
      <c r="O41" s="41">
        <v>298097</v>
      </c>
      <c r="P41" s="41">
        <v>205693</v>
      </c>
      <c r="Q41" s="41">
        <v>174603</v>
      </c>
      <c r="R41" s="41">
        <v>208126</v>
      </c>
      <c r="S41" s="20"/>
      <c r="T41" s="20"/>
      <c r="U41" s="41">
        <v>34715956</v>
      </c>
      <c r="V41" s="41">
        <v>15548139</v>
      </c>
      <c r="W41" s="41">
        <v>7436872</v>
      </c>
      <c r="X41" s="41">
        <v>4505995</v>
      </c>
      <c r="Y41" s="41">
        <v>4505531</v>
      </c>
      <c r="Z41" s="41">
        <v>3578237</v>
      </c>
      <c r="AA41" s="20"/>
      <c r="AB41" s="20"/>
      <c r="AC41" s="41">
        <v>705568935</v>
      </c>
      <c r="AD41" s="41">
        <v>203631419</v>
      </c>
      <c r="AE41" s="41">
        <v>99612627</v>
      </c>
      <c r="AF41" s="41">
        <v>65908812</v>
      </c>
      <c r="AG41" s="41">
        <v>62500216</v>
      </c>
      <c r="AH41" s="43">
        <v>44228859</v>
      </c>
      <c r="AI41" s="21"/>
    </row>
    <row r="42" spans="2:35" x14ac:dyDescent="0.35">
      <c r="B42" s="30"/>
      <c r="C42" s="23"/>
      <c r="D42" s="42" t="s">
        <v>11</v>
      </c>
      <c r="E42" s="41">
        <v>100769</v>
      </c>
      <c r="F42" s="41">
        <v>107908</v>
      </c>
      <c r="G42" s="41">
        <v>82797</v>
      </c>
      <c r="H42" s="41">
        <v>52951</v>
      </c>
      <c r="I42" s="41">
        <v>47243</v>
      </c>
      <c r="J42" s="41">
        <v>23782</v>
      </c>
      <c r="K42" s="20"/>
      <c r="L42" s="20"/>
      <c r="M42" s="41">
        <v>979762</v>
      </c>
      <c r="N42" s="41">
        <v>537866</v>
      </c>
      <c r="O42" s="41">
        <v>278879</v>
      </c>
      <c r="P42" s="41">
        <v>250890</v>
      </c>
      <c r="Q42" s="41">
        <v>219250</v>
      </c>
      <c r="R42" s="41">
        <v>205401</v>
      </c>
      <c r="S42" s="20"/>
      <c r="T42" s="20"/>
      <c r="U42" s="41">
        <v>27848484</v>
      </c>
      <c r="V42" s="41">
        <v>16301389</v>
      </c>
      <c r="W42" s="41">
        <v>7571037</v>
      </c>
      <c r="X42" s="41">
        <v>4373073</v>
      </c>
      <c r="Y42" s="41">
        <v>4532568</v>
      </c>
      <c r="Z42" s="41">
        <v>3610765</v>
      </c>
      <c r="AA42" s="20"/>
      <c r="AB42" s="20"/>
      <c r="AC42" s="41">
        <v>754716499</v>
      </c>
      <c r="AD42" s="41">
        <v>203612276</v>
      </c>
      <c r="AE42" s="41">
        <v>104603741</v>
      </c>
      <c r="AF42" s="41">
        <v>66009136</v>
      </c>
      <c r="AG42" s="41">
        <v>63050097</v>
      </c>
      <c r="AH42" s="43">
        <v>42219423</v>
      </c>
      <c r="AI42" s="21"/>
    </row>
    <row r="43" spans="2:35" x14ac:dyDescent="0.35">
      <c r="B43" s="30"/>
      <c r="C43" s="23"/>
      <c r="D43" s="42" t="s">
        <v>12</v>
      </c>
      <c r="E43" s="41">
        <v>173007</v>
      </c>
      <c r="F43" s="41">
        <v>111697</v>
      </c>
      <c r="G43" s="41">
        <v>72824</v>
      </c>
      <c r="H43" s="41">
        <v>52787</v>
      </c>
      <c r="I43" s="41">
        <v>51649</v>
      </c>
      <c r="J43" s="41">
        <v>24673</v>
      </c>
      <c r="K43" s="20"/>
      <c r="L43" s="20"/>
      <c r="M43" s="41">
        <v>1017138</v>
      </c>
      <c r="N43" s="41">
        <v>579872</v>
      </c>
      <c r="O43" s="41">
        <v>328489</v>
      </c>
      <c r="P43" s="41">
        <v>210381</v>
      </c>
      <c r="Q43" s="41">
        <v>176229</v>
      </c>
      <c r="R43" s="41">
        <v>198957</v>
      </c>
      <c r="S43" s="20"/>
      <c r="T43" s="20"/>
      <c r="U43" s="41">
        <v>26749562</v>
      </c>
      <c r="V43" s="41">
        <v>15569110</v>
      </c>
      <c r="W43" s="41">
        <v>7698825</v>
      </c>
      <c r="X43" s="41">
        <v>4407925</v>
      </c>
      <c r="Y43" s="41">
        <v>4603261</v>
      </c>
      <c r="Z43" s="41">
        <v>3683604</v>
      </c>
      <c r="AA43" s="20"/>
      <c r="AB43" s="20"/>
      <c r="AC43" s="41">
        <v>738241090</v>
      </c>
      <c r="AD43" s="41">
        <v>204662428</v>
      </c>
      <c r="AE43" s="41">
        <v>107710229</v>
      </c>
      <c r="AF43" s="41">
        <v>65762637</v>
      </c>
      <c r="AG43" s="41">
        <v>62273499</v>
      </c>
      <c r="AH43" s="43">
        <v>42804394</v>
      </c>
      <c r="AI43" s="21"/>
    </row>
    <row r="44" spans="2:35" x14ac:dyDescent="0.35">
      <c r="B44" s="30"/>
      <c r="C44" s="23"/>
      <c r="D44" s="42" t="s">
        <v>13</v>
      </c>
      <c r="E44" s="41">
        <v>181877</v>
      </c>
      <c r="F44" s="41">
        <v>125330</v>
      </c>
      <c r="G44" s="41">
        <v>52506</v>
      </c>
      <c r="H44" s="41">
        <v>54725</v>
      </c>
      <c r="I44" s="41">
        <v>55568</v>
      </c>
      <c r="J44" s="41">
        <v>23087</v>
      </c>
      <c r="K44" s="20"/>
      <c r="L44" s="20"/>
      <c r="M44" s="41">
        <v>1006420</v>
      </c>
      <c r="N44" s="41">
        <v>540150</v>
      </c>
      <c r="O44" s="41">
        <v>286456</v>
      </c>
      <c r="P44" s="41">
        <v>215981</v>
      </c>
      <c r="Q44" s="41">
        <v>168391</v>
      </c>
      <c r="R44" s="41">
        <v>198996</v>
      </c>
      <c r="S44" s="20"/>
      <c r="T44" s="20"/>
      <c r="U44" s="41">
        <v>27984684</v>
      </c>
      <c r="V44" s="41">
        <v>16167071</v>
      </c>
      <c r="W44" s="41">
        <v>7568359</v>
      </c>
      <c r="X44" s="41">
        <v>4512845</v>
      </c>
      <c r="Y44" s="41">
        <v>4592476</v>
      </c>
      <c r="Z44" s="41">
        <v>3722458</v>
      </c>
      <c r="AA44" s="20"/>
      <c r="AB44" s="20"/>
      <c r="AC44" s="41">
        <v>724400379</v>
      </c>
      <c r="AD44" s="41">
        <v>204012816</v>
      </c>
      <c r="AE44" s="41">
        <v>102139486</v>
      </c>
      <c r="AF44" s="41">
        <v>65894444</v>
      </c>
      <c r="AG44" s="41">
        <v>62445235</v>
      </c>
      <c r="AH44" s="43">
        <v>44920088</v>
      </c>
      <c r="AI44" s="21"/>
    </row>
    <row r="45" spans="2:35" x14ac:dyDescent="0.35">
      <c r="B45" s="30"/>
      <c r="C45" s="23"/>
      <c r="D45" s="42" t="s">
        <v>14</v>
      </c>
      <c r="E45" s="41">
        <v>188808</v>
      </c>
      <c r="F45" s="41">
        <v>106507</v>
      </c>
      <c r="G45" s="41">
        <v>68798</v>
      </c>
      <c r="H45" s="41">
        <v>54968</v>
      </c>
      <c r="I45" s="41">
        <v>49566</v>
      </c>
      <c r="J45" s="41">
        <v>24573</v>
      </c>
      <c r="K45" s="20"/>
      <c r="L45" s="20"/>
      <c r="M45" s="41">
        <v>952056</v>
      </c>
      <c r="N45" s="41">
        <v>546900</v>
      </c>
      <c r="O45" s="41">
        <v>316422</v>
      </c>
      <c r="P45" s="41">
        <v>209908</v>
      </c>
      <c r="Q45" s="41">
        <v>178231</v>
      </c>
      <c r="R45" s="41">
        <v>152358</v>
      </c>
      <c r="S45" s="20"/>
      <c r="T45" s="20"/>
      <c r="U45" s="41">
        <v>24952444</v>
      </c>
      <c r="V45" s="41">
        <v>15635808</v>
      </c>
      <c r="W45" s="41">
        <v>7399663</v>
      </c>
      <c r="X45" s="41">
        <v>4534433</v>
      </c>
      <c r="Y45" s="41">
        <v>4580473</v>
      </c>
      <c r="Z45" s="41">
        <v>3703103</v>
      </c>
      <c r="AA45" s="20"/>
      <c r="AB45" s="20"/>
      <c r="AC45" s="41">
        <v>739139507</v>
      </c>
      <c r="AD45" s="41">
        <v>203783644</v>
      </c>
      <c r="AE45" s="41">
        <v>100912546</v>
      </c>
      <c r="AF45" s="41">
        <v>65814118</v>
      </c>
      <c r="AG45" s="41">
        <v>63813981</v>
      </c>
      <c r="AH45" s="43">
        <v>43530507</v>
      </c>
      <c r="AI45" s="21"/>
    </row>
    <row r="46" spans="2:35" x14ac:dyDescent="0.35">
      <c r="B46" s="30"/>
      <c r="C46" s="23"/>
      <c r="D46" s="42" t="s">
        <v>15</v>
      </c>
      <c r="E46" s="41">
        <v>157330</v>
      </c>
      <c r="F46" s="41">
        <v>54713</v>
      </c>
      <c r="G46" s="41">
        <v>70309</v>
      </c>
      <c r="H46" s="41">
        <v>53671</v>
      </c>
      <c r="I46" s="41">
        <v>50712</v>
      </c>
      <c r="J46" s="41">
        <v>24860</v>
      </c>
      <c r="K46" s="20"/>
      <c r="L46" s="20"/>
      <c r="M46" s="41">
        <v>948822</v>
      </c>
      <c r="N46" s="41">
        <v>515958</v>
      </c>
      <c r="O46" s="41">
        <v>299765</v>
      </c>
      <c r="P46" s="41">
        <v>242216</v>
      </c>
      <c r="Q46" s="41">
        <v>163987</v>
      </c>
      <c r="R46" s="41">
        <v>196438</v>
      </c>
      <c r="S46" s="20"/>
      <c r="T46" s="20"/>
      <c r="U46" s="41">
        <v>26559337</v>
      </c>
      <c r="V46" s="41">
        <v>15927083</v>
      </c>
      <c r="W46" s="41">
        <v>7689488</v>
      </c>
      <c r="X46" s="41">
        <v>4665997</v>
      </c>
      <c r="Y46" s="41">
        <v>4646115</v>
      </c>
      <c r="Z46" s="41">
        <v>3798653</v>
      </c>
      <c r="AA46" s="20"/>
      <c r="AB46" s="20"/>
      <c r="AC46" s="41">
        <v>734454691</v>
      </c>
      <c r="AD46" s="41">
        <v>203316199</v>
      </c>
      <c r="AE46" s="41">
        <v>100646795</v>
      </c>
      <c r="AF46" s="41">
        <v>66057072</v>
      </c>
      <c r="AG46" s="41">
        <v>62722554</v>
      </c>
      <c r="AH46" s="43">
        <v>42686379</v>
      </c>
      <c r="AI46" s="21"/>
    </row>
    <row r="47" spans="2:35" x14ac:dyDescent="0.35">
      <c r="B47" s="30"/>
      <c r="C47" s="23"/>
      <c r="D47" s="42" t="s">
        <v>16</v>
      </c>
      <c r="E47" s="41">
        <v>173074</v>
      </c>
      <c r="F47" s="41">
        <v>45537</v>
      </c>
      <c r="G47" s="41">
        <v>85482</v>
      </c>
      <c r="H47" s="41">
        <v>56362</v>
      </c>
      <c r="I47" s="41">
        <v>50872</v>
      </c>
      <c r="J47" s="41">
        <v>23480</v>
      </c>
      <c r="K47" s="20"/>
      <c r="L47" s="20"/>
      <c r="M47" s="41">
        <v>1008408</v>
      </c>
      <c r="N47" s="41">
        <v>537126</v>
      </c>
      <c r="O47" s="41">
        <v>313941</v>
      </c>
      <c r="P47" s="41">
        <v>198415</v>
      </c>
      <c r="Q47" s="41">
        <v>168132</v>
      </c>
      <c r="R47" s="41">
        <v>204127</v>
      </c>
      <c r="S47" s="20"/>
      <c r="T47" s="20"/>
      <c r="U47" s="41">
        <v>26807291</v>
      </c>
      <c r="V47" s="41">
        <v>15511538</v>
      </c>
      <c r="W47" s="41">
        <v>7636636</v>
      </c>
      <c r="X47" s="41">
        <v>4641713</v>
      </c>
      <c r="Y47" s="41">
        <v>4532241</v>
      </c>
      <c r="Z47" s="41">
        <v>3719040</v>
      </c>
      <c r="AA47" s="20"/>
      <c r="AB47" s="20"/>
      <c r="AC47" s="41">
        <v>729100749</v>
      </c>
      <c r="AD47" s="41">
        <v>204488501</v>
      </c>
      <c r="AE47" s="41">
        <v>100173468</v>
      </c>
      <c r="AF47" s="41">
        <v>65671927</v>
      </c>
      <c r="AG47" s="41">
        <v>62544968</v>
      </c>
      <c r="AH47" s="43">
        <v>42362119</v>
      </c>
      <c r="AI47" s="21"/>
    </row>
    <row r="48" spans="2:35" x14ac:dyDescent="0.35">
      <c r="B48" s="30"/>
      <c r="C48" s="23"/>
      <c r="D48" s="42" t="s">
        <v>17</v>
      </c>
      <c r="E48" s="41">
        <v>86245</v>
      </c>
      <c r="F48" s="41">
        <v>106365</v>
      </c>
      <c r="G48" s="41">
        <v>81664</v>
      </c>
      <c r="H48" s="41">
        <v>54695</v>
      </c>
      <c r="I48" s="41">
        <v>51900</v>
      </c>
      <c r="J48" s="41">
        <v>27595</v>
      </c>
      <c r="K48" s="20"/>
      <c r="L48" s="20"/>
      <c r="M48" s="41">
        <v>985504</v>
      </c>
      <c r="N48" s="41">
        <v>535101</v>
      </c>
      <c r="O48" s="41">
        <v>304745</v>
      </c>
      <c r="P48" s="41">
        <v>212670</v>
      </c>
      <c r="Q48" s="41">
        <v>165250</v>
      </c>
      <c r="R48" s="41">
        <v>195607</v>
      </c>
      <c r="S48" s="20"/>
      <c r="T48" s="20"/>
      <c r="U48" s="41">
        <v>26539844</v>
      </c>
      <c r="V48" s="41">
        <v>15467490</v>
      </c>
      <c r="W48" s="41">
        <v>7426955</v>
      </c>
      <c r="X48" s="41">
        <v>4576416</v>
      </c>
      <c r="Y48" s="41">
        <v>4592689</v>
      </c>
      <c r="Z48" s="41">
        <v>3733002</v>
      </c>
      <c r="AA48" s="20"/>
      <c r="AB48" s="20"/>
      <c r="AC48" s="41">
        <v>717736240</v>
      </c>
      <c r="AD48" s="41">
        <v>203987818</v>
      </c>
      <c r="AE48" s="41">
        <v>101184732</v>
      </c>
      <c r="AF48" s="41">
        <v>65960836</v>
      </c>
      <c r="AG48" s="41">
        <v>62455319</v>
      </c>
      <c r="AH48" s="43">
        <v>42464499</v>
      </c>
      <c r="AI48" s="21"/>
    </row>
    <row r="49" spans="2:35" x14ac:dyDescent="0.35">
      <c r="B49" s="30"/>
      <c r="C49" s="23"/>
      <c r="D49" s="42" t="s">
        <v>18</v>
      </c>
      <c r="E49" s="41">
        <v>86692</v>
      </c>
      <c r="F49" s="41">
        <v>108967</v>
      </c>
      <c r="G49" s="41">
        <v>84872</v>
      </c>
      <c r="H49" s="41">
        <v>55203</v>
      </c>
      <c r="I49" s="41">
        <v>52727</v>
      </c>
      <c r="J49" s="41">
        <v>24194</v>
      </c>
      <c r="K49" s="20"/>
      <c r="L49" s="20"/>
      <c r="M49" s="41">
        <v>1002980</v>
      </c>
      <c r="N49" s="41">
        <v>536771</v>
      </c>
      <c r="O49" s="41">
        <v>310912</v>
      </c>
      <c r="P49" s="41">
        <v>222365</v>
      </c>
      <c r="Q49" s="41">
        <v>180085</v>
      </c>
      <c r="R49" s="41">
        <v>230635</v>
      </c>
      <c r="S49" s="20"/>
      <c r="T49" s="20"/>
      <c r="U49" s="41">
        <v>27405683</v>
      </c>
      <c r="V49" s="41">
        <v>15569045</v>
      </c>
      <c r="W49" s="41">
        <v>7370113</v>
      </c>
      <c r="X49" s="41">
        <v>4560363</v>
      </c>
      <c r="Y49" s="41">
        <v>4668039</v>
      </c>
      <c r="Z49" s="41">
        <v>3753104</v>
      </c>
      <c r="AA49" s="20"/>
      <c r="AB49" s="20"/>
      <c r="AC49" s="41">
        <v>676609617</v>
      </c>
      <c r="AD49" s="41">
        <v>201784784</v>
      </c>
      <c r="AE49" s="41">
        <v>100769449</v>
      </c>
      <c r="AF49" s="41">
        <v>65967619</v>
      </c>
      <c r="AG49" s="41">
        <v>62776281</v>
      </c>
      <c r="AH49" s="43">
        <v>41968657</v>
      </c>
      <c r="AI49" s="21"/>
    </row>
    <row r="50" spans="2:35" x14ac:dyDescent="0.35">
      <c r="B50" s="30"/>
      <c r="C50" s="23"/>
      <c r="D50" s="42" t="s">
        <v>19</v>
      </c>
      <c r="E50" s="41">
        <v>160360</v>
      </c>
      <c r="F50" s="41">
        <v>111404</v>
      </c>
      <c r="G50" s="41">
        <v>72652</v>
      </c>
      <c r="H50" s="41">
        <v>51977</v>
      </c>
      <c r="I50" s="41">
        <v>52301</v>
      </c>
      <c r="J50" s="41">
        <v>24267</v>
      </c>
      <c r="K50" s="20"/>
      <c r="L50" s="20"/>
      <c r="M50" s="41">
        <v>938811</v>
      </c>
      <c r="N50" s="41">
        <v>533488</v>
      </c>
      <c r="O50" s="41">
        <v>325950</v>
      </c>
      <c r="P50" s="41">
        <v>247790</v>
      </c>
      <c r="Q50" s="41">
        <v>167033</v>
      </c>
      <c r="R50" s="41">
        <v>244796</v>
      </c>
      <c r="S50" s="20"/>
      <c r="T50" s="20"/>
      <c r="U50" s="41">
        <v>26533935</v>
      </c>
      <c r="V50" s="41">
        <v>15760604</v>
      </c>
      <c r="W50" s="41">
        <v>7825313</v>
      </c>
      <c r="X50" s="41">
        <v>4733668</v>
      </c>
      <c r="Y50" s="41">
        <v>4627420</v>
      </c>
      <c r="Z50" s="41">
        <v>3786141</v>
      </c>
      <c r="AA50" s="20"/>
      <c r="AB50" s="20"/>
      <c r="AC50" s="41">
        <v>734906468</v>
      </c>
      <c r="AD50" s="41">
        <v>202171772</v>
      </c>
      <c r="AE50" s="41">
        <v>101207488</v>
      </c>
      <c r="AF50" s="41">
        <v>65918238</v>
      </c>
      <c r="AG50" s="41">
        <v>62397226</v>
      </c>
      <c r="AH50" s="43">
        <v>42421426</v>
      </c>
      <c r="AI50" s="21"/>
    </row>
    <row r="51" spans="2:35" x14ac:dyDescent="0.35">
      <c r="B51" s="30"/>
      <c r="C51" s="23"/>
      <c r="D51" s="42" t="s">
        <v>20</v>
      </c>
      <c r="E51" s="41">
        <v>164124</v>
      </c>
      <c r="F51" s="41">
        <v>127422</v>
      </c>
      <c r="G51" s="41">
        <v>49090</v>
      </c>
      <c r="H51" s="41">
        <v>52032</v>
      </c>
      <c r="I51" s="41">
        <v>53227</v>
      </c>
      <c r="J51" s="41">
        <v>25617</v>
      </c>
      <c r="K51" s="20"/>
      <c r="L51" s="20"/>
      <c r="M51" s="41">
        <v>945704</v>
      </c>
      <c r="N51" s="41">
        <v>576480</v>
      </c>
      <c r="O51" s="41">
        <v>283621</v>
      </c>
      <c r="P51" s="41">
        <v>217126</v>
      </c>
      <c r="Q51" s="41">
        <v>172342</v>
      </c>
      <c r="R51" s="41">
        <v>226399</v>
      </c>
      <c r="S51" s="20"/>
      <c r="T51" s="20"/>
      <c r="U51" s="41">
        <v>26627468</v>
      </c>
      <c r="V51" s="41">
        <v>16052983</v>
      </c>
      <c r="W51" s="41">
        <v>7523012</v>
      </c>
      <c r="X51" s="41">
        <v>4513348</v>
      </c>
      <c r="Y51" s="41">
        <v>4636350</v>
      </c>
      <c r="Z51" s="41">
        <v>3644123</v>
      </c>
      <c r="AA51" s="20"/>
      <c r="AB51" s="20"/>
      <c r="AC51" s="41">
        <v>664685710</v>
      </c>
      <c r="AD51" s="41">
        <v>203498808</v>
      </c>
      <c r="AE51" s="41">
        <v>100811886</v>
      </c>
      <c r="AF51" s="41">
        <v>66133228</v>
      </c>
      <c r="AG51" s="41">
        <v>62380867</v>
      </c>
      <c r="AH51" s="43">
        <v>42934181</v>
      </c>
      <c r="AI51" s="21"/>
    </row>
    <row r="52" spans="2:35" x14ac:dyDescent="0.35">
      <c r="B52" s="30"/>
      <c r="C52" s="23"/>
      <c r="D52" s="42" t="s">
        <v>21</v>
      </c>
      <c r="E52" s="41">
        <v>159978</v>
      </c>
      <c r="F52" s="41">
        <v>126696</v>
      </c>
      <c r="G52" s="41">
        <v>54698</v>
      </c>
      <c r="H52" s="41">
        <v>51866</v>
      </c>
      <c r="I52" s="41">
        <v>53591</v>
      </c>
      <c r="J52" s="41">
        <v>24743</v>
      </c>
      <c r="K52" s="20"/>
      <c r="L52" s="20"/>
      <c r="M52" s="41">
        <v>927592</v>
      </c>
      <c r="N52" s="41">
        <v>516879</v>
      </c>
      <c r="O52" s="41">
        <v>288986</v>
      </c>
      <c r="P52" s="41">
        <v>221032</v>
      </c>
      <c r="Q52" s="41">
        <v>169034</v>
      </c>
      <c r="R52" s="41">
        <v>212975</v>
      </c>
      <c r="S52" s="20"/>
      <c r="T52" s="20"/>
      <c r="U52" s="41">
        <v>26131751</v>
      </c>
      <c r="V52" s="41">
        <v>15438212</v>
      </c>
      <c r="W52" s="41">
        <v>7411336</v>
      </c>
      <c r="X52" s="41">
        <v>4490903</v>
      </c>
      <c r="Y52" s="41">
        <v>4577585</v>
      </c>
      <c r="Z52" s="41">
        <v>3722798</v>
      </c>
      <c r="AA52" s="20"/>
      <c r="AB52" s="20"/>
      <c r="AC52" s="41">
        <v>614823362</v>
      </c>
      <c r="AD52" s="41">
        <v>202805322</v>
      </c>
      <c r="AE52" s="41">
        <v>102356862</v>
      </c>
      <c r="AF52" s="41">
        <v>65763338</v>
      </c>
      <c r="AG52" s="41">
        <v>62941594</v>
      </c>
      <c r="AH52" s="43">
        <v>42378920</v>
      </c>
      <c r="AI52" s="21"/>
    </row>
    <row r="53" spans="2:35" x14ac:dyDescent="0.35">
      <c r="B53" s="30"/>
      <c r="C53" s="23"/>
      <c r="D53" s="42" t="s">
        <v>22</v>
      </c>
      <c r="E53" s="41">
        <v>145487</v>
      </c>
      <c r="F53" s="41">
        <v>104844</v>
      </c>
      <c r="G53" s="41">
        <v>83667</v>
      </c>
      <c r="H53" s="41">
        <v>53995</v>
      </c>
      <c r="I53" s="41">
        <v>50546</v>
      </c>
      <c r="J53" s="41">
        <v>24067</v>
      </c>
      <c r="K53" s="20"/>
      <c r="L53" s="20"/>
      <c r="M53" s="41">
        <v>920193</v>
      </c>
      <c r="N53" s="41">
        <v>525279</v>
      </c>
      <c r="O53" s="41">
        <v>323555</v>
      </c>
      <c r="P53" s="41">
        <v>170247</v>
      </c>
      <c r="Q53" s="41">
        <v>165492</v>
      </c>
      <c r="R53" s="41">
        <v>228768</v>
      </c>
      <c r="S53" s="20"/>
      <c r="T53" s="20"/>
      <c r="U53" s="41">
        <v>26586342</v>
      </c>
      <c r="V53" s="41">
        <v>15404874</v>
      </c>
      <c r="W53" s="41">
        <v>7614958</v>
      </c>
      <c r="X53" s="41">
        <v>4459710</v>
      </c>
      <c r="Y53" s="41">
        <v>4575505</v>
      </c>
      <c r="Z53" s="41">
        <v>3770100</v>
      </c>
      <c r="AA53" s="20"/>
      <c r="AB53" s="20"/>
      <c r="AC53" s="41">
        <v>748009851</v>
      </c>
      <c r="AD53" s="41">
        <v>203552653</v>
      </c>
      <c r="AE53" s="41">
        <v>99989468</v>
      </c>
      <c r="AF53" s="41">
        <v>66010552</v>
      </c>
      <c r="AG53" s="41">
        <v>61518112</v>
      </c>
      <c r="AH53" s="43">
        <v>42626875</v>
      </c>
      <c r="AI53" s="21"/>
    </row>
    <row r="54" spans="2:35" x14ac:dyDescent="0.35">
      <c r="B54" s="30"/>
      <c r="C54" s="23"/>
      <c r="D54" s="42" t="s">
        <v>23</v>
      </c>
      <c r="E54" s="41">
        <v>124559</v>
      </c>
      <c r="F54" s="41">
        <v>107802</v>
      </c>
      <c r="G54" s="41">
        <v>60296</v>
      </c>
      <c r="H54" s="41">
        <v>51852</v>
      </c>
      <c r="I54" s="41">
        <v>59392</v>
      </c>
      <c r="J54" s="41">
        <v>24939</v>
      </c>
      <c r="K54" s="20"/>
      <c r="L54" s="20"/>
      <c r="M54" s="41">
        <v>1099102</v>
      </c>
      <c r="N54" s="41">
        <v>518764</v>
      </c>
      <c r="O54" s="41">
        <v>317967</v>
      </c>
      <c r="P54" s="41">
        <v>259457</v>
      </c>
      <c r="Q54" s="41">
        <v>187718</v>
      </c>
      <c r="R54" s="41">
        <v>192063</v>
      </c>
      <c r="S54" s="20"/>
      <c r="T54" s="20"/>
      <c r="U54" s="41">
        <v>26928089</v>
      </c>
      <c r="V54" s="41">
        <v>15997157</v>
      </c>
      <c r="W54" s="41">
        <v>7480085</v>
      </c>
      <c r="X54" s="41">
        <v>4416046</v>
      </c>
      <c r="Y54" s="41">
        <v>4500604</v>
      </c>
      <c r="Z54" s="41">
        <v>3713540</v>
      </c>
      <c r="AA54" s="20"/>
      <c r="AB54" s="20"/>
      <c r="AC54" s="41">
        <v>706741694</v>
      </c>
      <c r="AD54" s="41">
        <v>202922821</v>
      </c>
      <c r="AE54" s="41">
        <v>99351994</v>
      </c>
      <c r="AF54" s="41">
        <v>65703150</v>
      </c>
      <c r="AG54" s="41">
        <v>63540636</v>
      </c>
      <c r="AH54" s="43">
        <v>43333733</v>
      </c>
      <c r="AI54" s="21"/>
    </row>
    <row r="55" spans="2:35" x14ac:dyDescent="0.35">
      <c r="B55" s="30"/>
      <c r="C55" s="23"/>
      <c r="D55" s="42" t="s">
        <v>24</v>
      </c>
      <c r="E55" s="41">
        <v>182880</v>
      </c>
      <c r="F55" s="41">
        <v>121838</v>
      </c>
      <c r="G55" s="41">
        <v>84951</v>
      </c>
      <c r="H55" s="41">
        <v>53174</v>
      </c>
      <c r="I55" s="41">
        <v>53058</v>
      </c>
      <c r="J55" s="41">
        <v>26424</v>
      </c>
      <c r="K55" s="20"/>
      <c r="L55" s="20"/>
      <c r="M55" s="41">
        <v>993822</v>
      </c>
      <c r="N55" s="41">
        <v>516786</v>
      </c>
      <c r="O55" s="41">
        <v>298268</v>
      </c>
      <c r="P55" s="41">
        <v>181957</v>
      </c>
      <c r="Q55" s="41">
        <v>182296</v>
      </c>
      <c r="R55" s="41">
        <v>192101</v>
      </c>
      <c r="S55" s="20"/>
      <c r="T55" s="20"/>
      <c r="U55" s="41">
        <v>27536049</v>
      </c>
      <c r="V55" s="41">
        <v>15502311</v>
      </c>
      <c r="W55" s="41">
        <v>7510048</v>
      </c>
      <c r="X55" s="41">
        <v>4519097</v>
      </c>
      <c r="Y55" s="41">
        <v>4644625</v>
      </c>
      <c r="Z55" s="41">
        <v>3729642</v>
      </c>
      <c r="AA55" s="20"/>
      <c r="AB55" s="20"/>
      <c r="AC55" s="41">
        <v>749697004</v>
      </c>
      <c r="AD55" s="41">
        <v>204648355</v>
      </c>
      <c r="AE55" s="41">
        <v>101090288</v>
      </c>
      <c r="AF55" s="41">
        <v>65783039</v>
      </c>
      <c r="AG55" s="41">
        <v>62788774</v>
      </c>
      <c r="AH55" s="43">
        <v>42204880</v>
      </c>
      <c r="AI55" s="21"/>
    </row>
    <row r="56" spans="2:35" x14ac:dyDescent="0.35">
      <c r="B56" s="30"/>
      <c r="C56" s="23"/>
      <c r="D56" s="42" t="s">
        <v>25</v>
      </c>
      <c r="E56" s="41">
        <v>163347</v>
      </c>
      <c r="F56" s="41">
        <v>116651</v>
      </c>
      <c r="G56" s="41">
        <v>83307</v>
      </c>
      <c r="H56" s="41">
        <v>55992</v>
      </c>
      <c r="I56" s="41">
        <v>49658</v>
      </c>
      <c r="J56" s="41">
        <v>24560</v>
      </c>
      <c r="K56" s="20"/>
      <c r="L56" s="20"/>
      <c r="M56" s="41">
        <v>1008716</v>
      </c>
      <c r="N56" s="41">
        <v>579671</v>
      </c>
      <c r="O56" s="41">
        <v>298686</v>
      </c>
      <c r="P56" s="41">
        <v>202825</v>
      </c>
      <c r="Q56" s="41">
        <v>194374</v>
      </c>
      <c r="R56" s="41">
        <v>189954</v>
      </c>
      <c r="S56" s="20"/>
      <c r="T56" s="20"/>
      <c r="U56" s="41">
        <v>27254834</v>
      </c>
      <c r="V56" s="41">
        <v>15794649</v>
      </c>
      <c r="W56" s="41">
        <v>7462599</v>
      </c>
      <c r="X56" s="41">
        <v>4501269</v>
      </c>
      <c r="Y56" s="41">
        <v>4686705</v>
      </c>
      <c r="Z56" s="41">
        <v>3650117</v>
      </c>
      <c r="AA56" s="20"/>
      <c r="AB56" s="20"/>
      <c r="AC56" s="41">
        <v>724729887</v>
      </c>
      <c r="AD56" s="41">
        <v>202961813</v>
      </c>
      <c r="AE56" s="41">
        <v>100800477</v>
      </c>
      <c r="AF56" s="41">
        <v>65952943</v>
      </c>
      <c r="AG56" s="41">
        <v>63629254</v>
      </c>
      <c r="AH56" s="43">
        <v>41155159</v>
      </c>
      <c r="AI56" s="21"/>
    </row>
    <row r="57" spans="2:35" x14ac:dyDescent="0.35">
      <c r="B57" s="30"/>
      <c r="C57" s="23"/>
      <c r="D57" s="42" t="s">
        <v>26</v>
      </c>
      <c r="E57" s="41">
        <v>143955</v>
      </c>
      <c r="F57" s="41">
        <v>58975</v>
      </c>
      <c r="G57" s="41">
        <v>87150</v>
      </c>
      <c r="H57" s="41">
        <v>50448</v>
      </c>
      <c r="I57" s="41">
        <v>54226</v>
      </c>
      <c r="J57" s="41">
        <v>26755</v>
      </c>
      <c r="K57" s="20"/>
      <c r="L57" s="20"/>
      <c r="M57" s="41">
        <v>946919</v>
      </c>
      <c r="N57" s="41">
        <v>544242</v>
      </c>
      <c r="O57" s="41">
        <v>292570</v>
      </c>
      <c r="P57" s="41">
        <v>206108</v>
      </c>
      <c r="Q57" s="41">
        <v>172060</v>
      </c>
      <c r="R57" s="41">
        <v>161269</v>
      </c>
      <c r="S57" s="20"/>
      <c r="T57" s="20"/>
      <c r="U57" s="41">
        <v>26006072</v>
      </c>
      <c r="V57" s="41">
        <v>15565109</v>
      </c>
      <c r="W57" s="41">
        <v>7631399</v>
      </c>
      <c r="X57" s="41">
        <v>4475518</v>
      </c>
      <c r="Y57" s="41">
        <v>4584867</v>
      </c>
      <c r="Z57" s="41">
        <v>3690539</v>
      </c>
      <c r="AA57" s="20"/>
      <c r="AB57" s="20"/>
      <c r="AC57" s="41">
        <v>751012003</v>
      </c>
      <c r="AD57" s="41">
        <v>205820508</v>
      </c>
      <c r="AE57" s="41">
        <v>114962332</v>
      </c>
      <c r="AF57" s="41">
        <v>65878658</v>
      </c>
      <c r="AG57" s="41">
        <v>62553786</v>
      </c>
      <c r="AH57" s="43">
        <v>42597887</v>
      </c>
      <c r="AI57" s="21"/>
    </row>
    <row r="58" spans="2:35" x14ac:dyDescent="0.35">
      <c r="B58" s="30"/>
      <c r="C58" s="23"/>
      <c r="D58" s="42" t="s">
        <v>27</v>
      </c>
      <c r="E58" s="41">
        <v>145790</v>
      </c>
      <c r="F58" s="41">
        <v>99173</v>
      </c>
      <c r="G58" s="41">
        <v>54986</v>
      </c>
      <c r="H58" s="41">
        <v>53779</v>
      </c>
      <c r="I58" s="41">
        <v>52551</v>
      </c>
      <c r="J58" s="41">
        <v>23624</v>
      </c>
      <c r="K58" s="20"/>
      <c r="L58" s="20"/>
      <c r="M58" s="41">
        <v>958684</v>
      </c>
      <c r="N58" s="41">
        <v>545571</v>
      </c>
      <c r="O58" s="41">
        <v>294439</v>
      </c>
      <c r="P58" s="41">
        <v>201494</v>
      </c>
      <c r="Q58" s="41">
        <v>176781</v>
      </c>
      <c r="R58" s="41">
        <v>161907</v>
      </c>
      <c r="S58" s="20"/>
      <c r="T58" s="20"/>
      <c r="U58" s="41">
        <v>27446746</v>
      </c>
      <c r="V58" s="41">
        <v>15966886</v>
      </c>
      <c r="W58" s="41">
        <v>7552459</v>
      </c>
      <c r="X58" s="41">
        <v>4457613</v>
      </c>
      <c r="Y58" s="41">
        <v>4735144</v>
      </c>
      <c r="Z58" s="41">
        <v>3807539</v>
      </c>
      <c r="AA58" s="20"/>
      <c r="AB58" s="20"/>
      <c r="AC58" s="41">
        <v>672893797</v>
      </c>
      <c r="AD58" s="41">
        <v>201415344</v>
      </c>
      <c r="AE58" s="41">
        <v>103366254</v>
      </c>
      <c r="AF58" s="41">
        <v>65757616</v>
      </c>
      <c r="AG58" s="41">
        <v>61495665</v>
      </c>
      <c r="AH58" s="43">
        <v>43018121</v>
      </c>
      <c r="AI58" s="21"/>
    </row>
    <row r="59" spans="2:35" x14ac:dyDescent="0.35">
      <c r="B59" s="30"/>
      <c r="C59" s="23"/>
      <c r="D59" s="42" t="s">
        <v>28</v>
      </c>
      <c r="E59" s="41">
        <v>177284</v>
      </c>
      <c r="F59" s="41">
        <v>105910</v>
      </c>
      <c r="G59" s="41">
        <v>73567</v>
      </c>
      <c r="H59" s="41">
        <v>55241</v>
      </c>
      <c r="I59" s="41">
        <v>52653</v>
      </c>
      <c r="J59" s="41">
        <v>25269</v>
      </c>
      <c r="K59" s="20"/>
      <c r="L59" s="20"/>
      <c r="M59" s="41">
        <v>952698</v>
      </c>
      <c r="N59" s="41">
        <v>550951</v>
      </c>
      <c r="O59" s="41">
        <v>294508</v>
      </c>
      <c r="P59" s="41">
        <v>241621</v>
      </c>
      <c r="Q59" s="41">
        <v>195840</v>
      </c>
      <c r="R59" s="41">
        <v>200619</v>
      </c>
      <c r="S59" s="20"/>
      <c r="T59" s="20"/>
      <c r="U59" s="41">
        <v>25956853</v>
      </c>
      <c r="V59" s="41">
        <v>16114350</v>
      </c>
      <c r="W59" s="41">
        <v>7768941</v>
      </c>
      <c r="X59" s="41">
        <v>4606985</v>
      </c>
      <c r="Y59" s="41">
        <v>4643058</v>
      </c>
      <c r="Z59" s="41">
        <v>3784626</v>
      </c>
      <c r="AA59" s="20"/>
      <c r="AB59" s="20"/>
      <c r="AC59" s="41">
        <v>739029339</v>
      </c>
      <c r="AD59" s="41">
        <v>201953686</v>
      </c>
      <c r="AE59" s="41">
        <v>101168609</v>
      </c>
      <c r="AF59" s="41">
        <v>66434215</v>
      </c>
      <c r="AG59" s="41">
        <v>62705007</v>
      </c>
      <c r="AH59" s="43">
        <v>43927275</v>
      </c>
      <c r="AI59" s="21"/>
    </row>
    <row r="60" spans="2:35" x14ac:dyDescent="0.35">
      <c r="B60" s="30"/>
      <c r="C60" s="23"/>
      <c r="D60" s="42" t="s">
        <v>29</v>
      </c>
      <c r="E60" s="41">
        <v>144567</v>
      </c>
      <c r="F60" s="41">
        <v>106869</v>
      </c>
      <c r="G60" s="41">
        <v>68041</v>
      </c>
      <c r="H60" s="41">
        <v>51650</v>
      </c>
      <c r="I60" s="41">
        <v>51761</v>
      </c>
      <c r="J60" s="41">
        <v>23237</v>
      </c>
      <c r="K60" s="20"/>
      <c r="L60" s="20"/>
      <c r="M60" s="41">
        <v>991627</v>
      </c>
      <c r="N60" s="41">
        <v>521058</v>
      </c>
      <c r="O60" s="41">
        <v>302887</v>
      </c>
      <c r="P60" s="41">
        <v>207428</v>
      </c>
      <c r="Q60" s="41">
        <v>196620</v>
      </c>
      <c r="R60" s="41">
        <v>204269</v>
      </c>
      <c r="S60" s="20"/>
      <c r="T60" s="20"/>
      <c r="U60" s="41">
        <v>23577137</v>
      </c>
      <c r="V60" s="41">
        <v>15462919</v>
      </c>
      <c r="W60" s="41">
        <v>7460297</v>
      </c>
      <c r="X60" s="41">
        <v>4531974</v>
      </c>
      <c r="Y60" s="41">
        <v>4674148</v>
      </c>
      <c r="Z60" s="41">
        <v>3760836</v>
      </c>
      <c r="AA60" s="20"/>
      <c r="AB60" s="20"/>
      <c r="AC60" s="41">
        <v>748415215</v>
      </c>
      <c r="AD60" s="41">
        <v>204254181</v>
      </c>
      <c r="AE60" s="41">
        <v>101280020</v>
      </c>
      <c r="AF60" s="41">
        <v>65340493</v>
      </c>
      <c r="AG60" s="41">
        <v>62886952</v>
      </c>
      <c r="AH60" s="43">
        <v>43014309</v>
      </c>
      <c r="AI60" s="21"/>
    </row>
    <row r="61" spans="2:35" x14ac:dyDescent="0.35">
      <c r="B61" s="30"/>
      <c r="C61" s="23"/>
      <c r="D61" s="42" t="s">
        <v>30</v>
      </c>
      <c r="E61" s="41">
        <v>86645</v>
      </c>
      <c r="F61" s="41">
        <v>46285</v>
      </c>
      <c r="G61" s="41">
        <v>64680</v>
      </c>
      <c r="H61" s="41">
        <v>50013</v>
      </c>
      <c r="I61" s="41">
        <v>52367</v>
      </c>
      <c r="J61" s="41">
        <v>29254</v>
      </c>
      <c r="K61" s="20"/>
      <c r="L61" s="20"/>
      <c r="M61" s="41">
        <v>1057456</v>
      </c>
      <c r="N61" s="41">
        <v>526904</v>
      </c>
      <c r="O61" s="41">
        <v>312837</v>
      </c>
      <c r="P61" s="41">
        <v>191012</v>
      </c>
      <c r="Q61" s="41">
        <v>178832</v>
      </c>
      <c r="R61" s="41">
        <v>200942</v>
      </c>
      <c r="S61" s="20"/>
      <c r="T61" s="20"/>
      <c r="U61" s="41">
        <v>24112282</v>
      </c>
      <c r="V61" s="41">
        <v>15718667</v>
      </c>
      <c r="W61" s="41">
        <v>7373055</v>
      </c>
      <c r="X61" s="41">
        <v>4409841</v>
      </c>
      <c r="Y61" s="41">
        <v>4595468</v>
      </c>
      <c r="Z61" s="41">
        <v>3755122</v>
      </c>
      <c r="AA61" s="20"/>
      <c r="AB61" s="20"/>
      <c r="AC61" s="41">
        <v>736763819</v>
      </c>
      <c r="AD61" s="41">
        <v>204484053</v>
      </c>
      <c r="AE61" s="41">
        <v>99672471</v>
      </c>
      <c r="AF61" s="41">
        <v>66077672</v>
      </c>
      <c r="AG61" s="41">
        <v>64721661</v>
      </c>
      <c r="AH61" s="43">
        <v>43091227</v>
      </c>
      <c r="AI61" s="21"/>
    </row>
    <row r="62" spans="2:35" x14ac:dyDescent="0.35">
      <c r="B62" s="30"/>
      <c r="C62" s="23"/>
      <c r="D62" s="42" t="s">
        <v>31</v>
      </c>
      <c r="E62" s="41">
        <v>161359</v>
      </c>
      <c r="F62" s="41">
        <v>47225</v>
      </c>
      <c r="G62" s="41">
        <v>82815</v>
      </c>
      <c r="H62" s="41">
        <v>55654</v>
      </c>
      <c r="I62" s="41">
        <v>47051</v>
      </c>
      <c r="J62" s="41">
        <v>25028</v>
      </c>
      <c r="K62" s="20"/>
      <c r="L62" s="20"/>
      <c r="M62" s="41">
        <v>982325</v>
      </c>
      <c r="N62" s="41">
        <v>517924</v>
      </c>
      <c r="O62" s="41">
        <v>288056</v>
      </c>
      <c r="P62" s="41">
        <v>194789</v>
      </c>
      <c r="Q62" s="41">
        <v>157755</v>
      </c>
      <c r="R62" s="41">
        <v>210580</v>
      </c>
      <c r="S62" s="20"/>
      <c r="T62" s="20"/>
      <c r="U62" s="41">
        <v>27797061</v>
      </c>
      <c r="V62" s="41">
        <v>15378192</v>
      </c>
      <c r="W62" s="41">
        <v>7629830</v>
      </c>
      <c r="X62" s="41">
        <v>4649311</v>
      </c>
      <c r="Y62" s="41">
        <v>4562561</v>
      </c>
      <c r="Z62" s="41">
        <v>3777181</v>
      </c>
      <c r="AA62" s="20"/>
      <c r="AB62" s="20"/>
      <c r="AC62" s="41">
        <v>693562208</v>
      </c>
      <c r="AD62" s="41">
        <v>200241985</v>
      </c>
      <c r="AE62" s="41">
        <v>121869705</v>
      </c>
      <c r="AF62" s="41">
        <v>66358138</v>
      </c>
      <c r="AG62" s="41">
        <v>62717749</v>
      </c>
      <c r="AH62" s="43">
        <v>42197774</v>
      </c>
      <c r="AI62" s="21"/>
    </row>
    <row r="63" spans="2:35" x14ac:dyDescent="0.35">
      <c r="B63" s="30"/>
      <c r="C63" s="23"/>
      <c r="D63" s="42" t="s">
        <v>32</v>
      </c>
      <c r="E63" s="41">
        <v>182402</v>
      </c>
      <c r="F63" s="41">
        <v>66450</v>
      </c>
      <c r="G63" s="41">
        <v>75830</v>
      </c>
      <c r="H63" s="41">
        <v>51605</v>
      </c>
      <c r="I63" s="41">
        <v>51293</v>
      </c>
      <c r="J63" s="41">
        <v>24872</v>
      </c>
      <c r="K63" s="20"/>
      <c r="L63" s="20"/>
      <c r="M63" s="41">
        <v>992544</v>
      </c>
      <c r="N63" s="41">
        <v>578731</v>
      </c>
      <c r="O63" s="41">
        <v>277802</v>
      </c>
      <c r="P63" s="41">
        <v>237486</v>
      </c>
      <c r="Q63" s="41">
        <v>178864</v>
      </c>
      <c r="R63" s="41">
        <v>178721</v>
      </c>
      <c r="S63" s="20"/>
      <c r="T63" s="20"/>
      <c r="U63" s="41">
        <v>26347096</v>
      </c>
      <c r="V63" s="41">
        <v>15496878</v>
      </c>
      <c r="W63" s="41">
        <v>7602590</v>
      </c>
      <c r="X63" s="41">
        <v>4589946</v>
      </c>
      <c r="Y63" s="41">
        <v>4630679</v>
      </c>
      <c r="Z63" s="41">
        <v>3729553</v>
      </c>
      <c r="AA63" s="20"/>
      <c r="AB63" s="20"/>
      <c r="AC63" s="41">
        <v>912098121</v>
      </c>
      <c r="AD63" s="41">
        <v>202160425</v>
      </c>
      <c r="AE63" s="41">
        <v>118272520</v>
      </c>
      <c r="AF63" s="41">
        <v>67222974</v>
      </c>
      <c r="AG63" s="41">
        <v>62560926</v>
      </c>
      <c r="AH63" s="43">
        <v>41720182</v>
      </c>
      <c r="AI63" s="21"/>
    </row>
    <row r="64" spans="2:35" x14ac:dyDescent="0.35">
      <c r="B64" s="30"/>
      <c r="C64" s="23"/>
      <c r="D64" s="42" t="s">
        <v>33</v>
      </c>
      <c r="E64" s="41">
        <v>144898</v>
      </c>
      <c r="F64" s="41">
        <v>46998</v>
      </c>
      <c r="G64" s="41">
        <v>82898</v>
      </c>
      <c r="H64" s="41">
        <v>55120</v>
      </c>
      <c r="I64" s="41">
        <v>55542</v>
      </c>
      <c r="J64" s="41">
        <v>25104</v>
      </c>
      <c r="K64" s="20"/>
      <c r="L64" s="20"/>
      <c r="M64" s="41">
        <v>965819</v>
      </c>
      <c r="N64" s="41">
        <v>543578</v>
      </c>
      <c r="O64" s="41">
        <v>290790</v>
      </c>
      <c r="P64" s="41">
        <v>190136</v>
      </c>
      <c r="Q64" s="41">
        <v>168648</v>
      </c>
      <c r="R64" s="41">
        <v>152867</v>
      </c>
      <c r="S64" s="20"/>
      <c r="T64" s="20"/>
      <c r="U64" s="41">
        <v>25672805</v>
      </c>
      <c r="V64" s="41">
        <v>15943187</v>
      </c>
      <c r="W64" s="41">
        <v>7486889</v>
      </c>
      <c r="X64" s="41">
        <v>4503257</v>
      </c>
      <c r="Y64" s="41">
        <v>4617896</v>
      </c>
      <c r="Z64" s="41">
        <v>3801871</v>
      </c>
      <c r="AA64" s="20"/>
      <c r="AB64" s="20"/>
      <c r="AC64" s="41">
        <v>707459530</v>
      </c>
      <c r="AD64" s="41">
        <v>201806635</v>
      </c>
      <c r="AE64" s="41">
        <v>101976333</v>
      </c>
      <c r="AF64" s="41">
        <v>65615053</v>
      </c>
      <c r="AG64" s="41">
        <v>62941029</v>
      </c>
      <c r="AH64" s="43">
        <v>43137673</v>
      </c>
      <c r="AI64" s="21"/>
    </row>
    <row r="65" spans="2:35" x14ac:dyDescent="0.35">
      <c r="B65" s="30"/>
      <c r="C65" s="23"/>
      <c r="D65" s="42" t="s">
        <v>34</v>
      </c>
      <c r="E65" s="41">
        <v>142736</v>
      </c>
      <c r="F65" s="41">
        <v>79808</v>
      </c>
      <c r="G65" s="41">
        <v>70396</v>
      </c>
      <c r="H65" s="41">
        <v>51775</v>
      </c>
      <c r="I65" s="41">
        <v>52670</v>
      </c>
      <c r="J65" s="41">
        <v>24371</v>
      </c>
      <c r="K65" s="20"/>
      <c r="L65" s="20"/>
      <c r="M65" s="41">
        <v>1003463</v>
      </c>
      <c r="N65" s="41">
        <v>560675</v>
      </c>
      <c r="O65" s="41">
        <v>340991</v>
      </c>
      <c r="P65" s="41">
        <v>242963</v>
      </c>
      <c r="Q65" s="41">
        <v>226752</v>
      </c>
      <c r="R65" s="41">
        <v>185204</v>
      </c>
      <c r="S65" s="20"/>
      <c r="T65" s="20"/>
      <c r="U65" s="41">
        <v>26945638</v>
      </c>
      <c r="V65" s="41">
        <v>16024778</v>
      </c>
      <c r="W65" s="41">
        <v>7711657</v>
      </c>
      <c r="X65" s="41">
        <v>4571138</v>
      </c>
      <c r="Y65" s="41">
        <v>4676573</v>
      </c>
      <c r="Z65" s="41">
        <v>3683223</v>
      </c>
      <c r="AA65" s="20"/>
      <c r="AB65" s="20"/>
      <c r="AC65" s="41">
        <v>663903854</v>
      </c>
      <c r="AD65" s="41">
        <v>203176118</v>
      </c>
      <c r="AE65" s="41">
        <v>108814681</v>
      </c>
      <c r="AF65" s="41">
        <v>66054256</v>
      </c>
      <c r="AG65" s="41">
        <v>62882347</v>
      </c>
      <c r="AH65" s="43">
        <v>42136280</v>
      </c>
      <c r="AI65" s="21"/>
    </row>
    <row r="66" spans="2:35" x14ac:dyDescent="0.35">
      <c r="B66" s="30"/>
      <c r="C66" s="23"/>
      <c r="D66" s="42" t="s">
        <v>35</v>
      </c>
      <c r="E66" s="41">
        <v>142733</v>
      </c>
      <c r="F66" s="41">
        <v>117412</v>
      </c>
      <c r="G66" s="41">
        <v>72473</v>
      </c>
      <c r="H66" s="41">
        <v>55617</v>
      </c>
      <c r="I66" s="41">
        <v>53121</v>
      </c>
      <c r="J66" s="41">
        <v>23428</v>
      </c>
      <c r="K66" s="20"/>
      <c r="L66" s="20"/>
      <c r="M66" s="41">
        <v>948302</v>
      </c>
      <c r="N66" s="41">
        <v>545578</v>
      </c>
      <c r="O66" s="41">
        <v>313245</v>
      </c>
      <c r="P66" s="41">
        <v>251765</v>
      </c>
      <c r="Q66" s="41">
        <v>171629</v>
      </c>
      <c r="R66" s="41">
        <v>180715</v>
      </c>
      <c r="S66" s="20"/>
      <c r="T66" s="20"/>
      <c r="U66" s="41">
        <v>26441568</v>
      </c>
      <c r="V66" s="41">
        <v>15693362</v>
      </c>
      <c r="W66" s="41">
        <v>7609341</v>
      </c>
      <c r="X66" s="41">
        <v>4419385</v>
      </c>
      <c r="Y66" s="41">
        <v>4552609</v>
      </c>
      <c r="Z66" s="41">
        <v>3654695</v>
      </c>
      <c r="AA66" s="20"/>
      <c r="AB66" s="20"/>
      <c r="AC66" s="41">
        <v>734561350</v>
      </c>
      <c r="AD66" s="41">
        <v>202607481</v>
      </c>
      <c r="AE66" s="41">
        <v>102952086</v>
      </c>
      <c r="AF66" s="41">
        <v>66479752</v>
      </c>
      <c r="AG66" s="41">
        <v>63162900</v>
      </c>
      <c r="AH66" s="43">
        <v>43678160</v>
      </c>
      <c r="AI66" s="21"/>
    </row>
    <row r="67" spans="2:35" x14ac:dyDescent="0.35">
      <c r="B67" s="30"/>
      <c r="C67" s="23"/>
      <c r="D67" s="42" t="s">
        <v>36</v>
      </c>
      <c r="E67" s="41">
        <v>147076</v>
      </c>
      <c r="F67" s="41">
        <v>93632</v>
      </c>
      <c r="G67" s="41">
        <v>83242</v>
      </c>
      <c r="H67" s="41">
        <v>56220</v>
      </c>
      <c r="I67" s="41">
        <v>49834</v>
      </c>
      <c r="J67" s="41">
        <v>24128</v>
      </c>
      <c r="K67" s="20"/>
      <c r="L67" s="20"/>
      <c r="M67" s="41">
        <v>947711</v>
      </c>
      <c r="N67" s="41">
        <v>589619</v>
      </c>
      <c r="O67" s="41">
        <v>289215</v>
      </c>
      <c r="P67" s="41">
        <v>241886</v>
      </c>
      <c r="Q67" s="41">
        <v>190893</v>
      </c>
      <c r="R67" s="41">
        <v>202339</v>
      </c>
      <c r="S67" s="20"/>
      <c r="T67" s="20"/>
      <c r="U67" s="41">
        <v>27180042</v>
      </c>
      <c r="V67" s="41">
        <v>16594250</v>
      </c>
      <c r="W67" s="41">
        <v>7829991</v>
      </c>
      <c r="X67" s="41">
        <v>4575239</v>
      </c>
      <c r="Y67" s="41">
        <v>4544043</v>
      </c>
      <c r="Z67" s="41">
        <v>3725895</v>
      </c>
      <c r="AA67" s="20"/>
      <c r="AB67" s="20"/>
      <c r="AC67" s="41">
        <v>736029115</v>
      </c>
      <c r="AD67" s="41">
        <v>203088305</v>
      </c>
      <c r="AE67" s="41">
        <v>101108310</v>
      </c>
      <c r="AF67" s="41">
        <v>66112396</v>
      </c>
      <c r="AG67" s="41">
        <v>63799192</v>
      </c>
      <c r="AH67" s="43">
        <v>43030688</v>
      </c>
      <c r="AI67" s="21"/>
    </row>
    <row r="68" spans="2:35" x14ac:dyDescent="0.35">
      <c r="B68" s="30"/>
      <c r="C68" s="23"/>
      <c r="D68" s="42" t="s">
        <v>37</v>
      </c>
      <c r="E68" s="41">
        <v>144793</v>
      </c>
      <c r="F68" s="41">
        <v>104743</v>
      </c>
      <c r="G68" s="41">
        <v>81477</v>
      </c>
      <c r="H68" s="41">
        <v>55645</v>
      </c>
      <c r="I68" s="41">
        <v>52104</v>
      </c>
      <c r="J68" s="41">
        <v>24836</v>
      </c>
      <c r="K68" s="20"/>
      <c r="L68" s="20"/>
      <c r="M68" s="41">
        <v>979571</v>
      </c>
      <c r="N68" s="41">
        <v>523718</v>
      </c>
      <c r="O68" s="41">
        <v>301665</v>
      </c>
      <c r="P68" s="41">
        <v>234176</v>
      </c>
      <c r="Q68" s="41">
        <v>173516</v>
      </c>
      <c r="R68" s="41">
        <v>202756</v>
      </c>
      <c r="S68" s="20"/>
      <c r="T68" s="20"/>
      <c r="U68" s="41">
        <v>25960942</v>
      </c>
      <c r="V68" s="41">
        <v>15724377</v>
      </c>
      <c r="W68" s="41">
        <v>7469083</v>
      </c>
      <c r="X68" s="41">
        <v>4461314</v>
      </c>
      <c r="Y68" s="41">
        <v>4632299</v>
      </c>
      <c r="Z68" s="41">
        <v>3760758</v>
      </c>
      <c r="AA68" s="20"/>
      <c r="AB68" s="20"/>
      <c r="AC68" s="41">
        <v>753565323</v>
      </c>
      <c r="AD68" s="41">
        <v>203507815</v>
      </c>
      <c r="AE68" s="41">
        <v>100697696</v>
      </c>
      <c r="AF68" s="41">
        <v>67165782</v>
      </c>
      <c r="AG68" s="41">
        <v>69149170</v>
      </c>
      <c r="AH68" s="43">
        <v>42125763</v>
      </c>
      <c r="AI68" s="21"/>
    </row>
    <row r="69" spans="2:35" x14ac:dyDescent="0.35">
      <c r="B69" s="30"/>
      <c r="C69" s="23"/>
      <c r="D69" s="42" t="s">
        <v>38</v>
      </c>
      <c r="E69" s="41">
        <v>155728</v>
      </c>
      <c r="F69" s="41">
        <v>111484</v>
      </c>
      <c r="G69" s="41">
        <v>61891</v>
      </c>
      <c r="H69" s="41">
        <v>56106</v>
      </c>
      <c r="I69" s="41">
        <v>53437</v>
      </c>
      <c r="J69" s="41">
        <v>25066</v>
      </c>
      <c r="K69" s="20"/>
      <c r="L69" s="20"/>
      <c r="M69" s="41">
        <v>933553</v>
      </c>
      <c r="N69" s="41">
        <v>529188</v>
      </c>
      <c r="O69" s="41">
        <v>331759</v>
      </c>
      <c r="P69" s="41">
        <v>239351</v>
      </c>
      <c r="Q69" s="41">
        <v>174731</v>
      </c>
      <c r="R69" s="41">
        <v>175323</v>
      </c>
      <c r="S69" s="20"/>
      <c r="T69" s="20"/>
      <c r="U69" s="41">
        <v>27082416</v>
      </c>
      <c r="V69" s="41">
        <v>16915496</v>
      </c>
      <c r="W69" s="41">
        <v>7700208</v>
      </c>
      <c r="X69" s="41">
        <v>4612043</v>
      </c>
      <c r="Y69" s="41">
        <v>4719345</v>
      </c>
      <c r="Z69" s="41">
        <v>3758628</v>
      </c>
      <c r="AA69" s="20"/>
      <c r="AB69" s="20"/>
      <c r="AC69" s="41">
        <v>692895812</v>
      </c>
      <c r="AD69" s="41">
        <v>202565073</v>
      </c>
      <c r="AE69" s="41">
        <v>102578739</v>
      </c>
      <c r="AF69" s="41">
        <v>65722296</v>
      </c>
      <c r="AG69" s="41">
        <v>62493141</v>
      </c>
      <c r="AH69" s="43">
        <v>42731514</v>
      </c>
      <c r="AI69" s="21"/>
    </row>
    <row r="70" spans="2:35" x14ac:dyDescent="0.35">
      <c r="B70" s="30"/>
      <c r="C70" s="23"/>
      <c r="D70" s="42" t="s">
        <v>39</v>
      </c>
      <c r="E70" s="41">
        <v>172401</v>
      </c>
      <c r="F70" s="41">
        <v>107655</v>
      </c>
      <c r="G70" s="41">
        <v>73234</v>
      </c>
      <c r="H70" s="41">
        <v>54207</v>
      </c>
      <c r="I70" s="41">
        <v>50585</v>
      </c>
      <c r="J70" s="41">
        <v>23472</v>
      </c>
      <c r="K70" s="20"/>
      <c r="L70" s="20"/>
      <c r="M70" s="41">
        <v>1159701</v>
      </c>
      <c r="N70" s="41">
        <v>552067</v>
      </c>
      <c r="O70" s="41">
        <v>334881</v>
      </c>
      <c r="P70" s="41">
        <v>240088</v>
      </c>
      <c r="Q70" s="41">
        <v>160725</v>
      </c>
      <c r="R70" s="41">
        <v>203864</v>
      </c>
      <c r="S70" s="20"/>
      <c r="T70" s="20"/>
      <c r="U70" s="41">
        <v>23983206</v>
      </c>
      <c r="V70" s="41">
        <v>16035725</v>
      </c>
      <c r="W70" s="41">
        <v>7622131</v>
      </c>
      <c r="X70" s="41">
        <v>4452144</v>
      </c>
      <c r="Y70" s="41">
        <v>4714043</v>
      </c>
      <c r="Z70" s="41">
        <v>3765919</v>
      </c>
      <c r="AA70" s="20"/>
      <c r="AB70" s="20"/>
      <c r="AC70" s="41">
        <v>698101967</v>
      </c>
      <c r="AD70" s="41">
        <v>203372546</v>
      </c>
      <c r="AE70" s="41">
        <v>103653484</v>
      </c>
      <c r="AF70" s="41">
        <v>66103637</v>
      </c>
      <c r="AG70" s="41">
        <v>62045052</v>
      </c>
      <c r="AH70" s="43">
        <v>42934711</v>
      </c>
      <c r="AI70" s="21"/>
    </row>
    <row r="71" spans="2:35" ht="15" thickBot="1" x14ac:dyDescent="0.4">
      <c r="B71" s="30"/>
      <c r="C71" s="24"/>
      <c r="D71" s="37" t="s">
        <v>44</v>
      </c>
      <c r="E71" s="25" cm="1">
        <f t="array" ref="E71">ROUND(AVERAGE(IF((ISNUMBER(E41:E70))*(E41:E70&lt;LARGE(E41:E70,2))*(E41:E70&gt;SMALL(E41:E70,2)),E41:E70)),0)</f>
        <v>152489</v>
      </c>
      <c r="F71" s="25" cm="1">
        <f t="array" ref="F71">ROUND(AVERAGE(IF((ISNUMBER(F41:F70))*(F41:F70&lt;LARGE(F41:F70,2))*(F41:F70&gt;SMALL(F41:F70,2)),F41:F70)),0)</f>
        <v>95962</v>
      </c>
      <c r="G71" s="25" cm="1">
        <f t="array" ref="G71">ROUND(AVERAGE(IF((ISNUMBER(G41:G70))*(G41:G70&lt;LARGE(G41:G70,2))*(G41:G70&gt;SMALL(G41:G70,2)),G41:G70)),0)</f>
        <v>74085</v>
      </c>
      <c r="H71" s="25" cm="1">
        <f t="array" ref="H71">ROUND(AVERAGE(IF((ISNUMBER(H41:H70))*(H41:H70&lt;LARGE(H41:H70,2))*(H41:H70&gt;SMALL(H41:H70,2)),H41:H70)),0)</f>
        <v>53879</v>
      </c>
      <c r="I71" s="25" cm="1">
        <f t="array" ref="I71">ROUND(AVERAGE(IF((ISNUMBER(I41:I70))*(I41:I70&lt;LARGE(I41:I70,2))*(I41:I70&gt;SMALL(I41:I70,2)),I41:I70)),0)</f>
        <v>51998</v>
      </c>
      <c r="J71" s="25" cm="1">
        <f t="array" ref="J71">ROUND(AVERAGE(IF((ISNUMBER(J41:J70))*(J41:J70&lt;LARGE(J41:J70,2))*(J41:J70&gt;SMALL(J41:J70,2)),J41:J70)),0)</f>
        <v>24656</v>
      </c>
      <c r="K71" s="25"/>
      <c r="L71" s="25"/>
      <c r="M71" s="25" cm="1">
        <f t="array" ref="M71">ROUND(AVERAGE(IF((ISNUMBER(M41:M70))*(M41:M70&lt;LARGE(M41:M70,2))*(M41:M70&gt;SMALL(M41:M70,2)),M41:M70)),0)</f>
        <v>978412</v>
      </c>
      <c r="N71" s="25" cm="1">
        <f t="array" ref="N71">ROUND(AVERAGE(IF((ISNUMBER(N41:N70))*(N41:N70&lt;LARGE(N41:N70,2))*(N41:N70&gt;SMALL(N41:N70,2)),N41:N70)),0)</f>
        <v>540877</v>
      </c>
      <c r="O71" s="25" cm="1">
        <f t="array" ref="O71">ROUND(AVERAGE(IF((ISNUMBER(O41:O70))*(O41:O70&lt;LARGE(O41:O70,2))*(O41:O70&gt;SMALL(O41:O70,2)),O41:O70)),0)</f>
        <v>304147</v>
      </c>
      <c r="P71" s="25" cm="1">
        <f t="array" ref="P71">ROUND(AVERAGE(IF((ISNUMBER(P41:P70))*(P41:P70&lt;LARGE(P41:P70,2))*(P41:P70&gt;SMALL(P41:P70,2)),P41:P70)),0)</f>
        <v>220224</v>
      </c>
      <c r="Q71" s="25" cm="1">
        <f t="array" ref="Q71">ROUND(AVERAGE(IF((ISNUMBER(Q41:Q70))*(Q41:Q70&lt;LARGE(Q41:Q70,2))*(Q41:Q70&gt;SMALL(Q41:Q70,2)),Q41:Q70)),0)</f>
        <v>176600</v>
      </c>
      <c r="R71" s="25" cm="1">
        <f t="array" ref="R71">ROUND(AVERAGE(IF((ISNUMBER(R41:R70))*(R41:R70&lt;LARGE(R41:R70,2))*(R41:R70&gt;SMALL(R41:R70,2)),R41:R70)),0)</f>
        <v>196862</v>
      </c>
      <c r="S71" s="25"/>
      <c r="T71" s="25"/>
      <c r="U71" s="25" cm="1">
        <f t="array" ref="U71">ROUND(AVERAGE(IF((ISNUMBER(U41:U70))*(U41:U70&lt;LARGE(U41:U70,2))*(U41:U70&gt;SMALL(U41:U70,2)),U41:U70)),0)</f>
        <v>26592717</v>
      </c>
      <c r="V71" s="25" cm="1">
        <f t="array" ref="V71">ROUND(AVERAGE(IF((ISNUMBER(V41:V70))*(V41:V70&lt;LARGE(V41:V70,2))*(V41:V70&gt;SMALL(V41:V70,2)),V41:V70)),0)</f>
        <v>15768801</v>
      </c>
      <c r="W71" s="25" cm="1">
        <f t="array" ref="W71">ROUND(AVERAGE(IF((ISNUMBER(W41:W70))*(W41:W70&lt;LARGE(W41:W70,2))*(W41:W70&gt;SMALL(W41:W70,2)),W41:W70)),0)</f>
        <v>7564411</v>
      </c>
      <c r="X71" s="25" cm="1">
        <f t="array" ref="X71">ROUND(AVERAGE(IF((ISNUMBER(X41:X70))*(X41:X70&lt;LARGE(X41:X70,2))*(X41:X70&gt;SMALL(X41:X70,2)),X41:X70)),0)</f>
        <v>4521071</v>
      </c>
      <c r="Y71" s="25" cm="1">
        <f t="array" ref="Y71">ROUND(AVERAGE(IF((ISNUMBER(Y41:Y70))*(Y41:Y70&lt;LARGE(Y41:Y70,2))*(Y41:Y70&gt;SMALL(Y41:Y70,2)),Y41:Y70)),0)</f>
        <v>4612473</v>
      </c>
      <c r="Z71" s="25" cm="1">
        <f t="array" ref="Z71">ROUND(AVERAGE(IF((ISNUMBER(Z41:Z70))*(Z41:Z70&lt;LARGE(Z41:Z70,2))*(Z41:Z70&gt;SMALL(Z41:Z70,2)),Z41:Z70)),0)</f>
        <v>3729862</v>
      </c>
      <c r="AA71" s="25"/>
      <c r="AB71" s="25"/>
      <c r="AC71" s="25" cm="1">
        <f t="array" ref="AC71">ROUND(AVERAGE(IF((ISNUMBER(AC41:AC70))*(AC41:AC70&lt;LARGE(AC41:AC70,2))*(AC41:AC70&gt;SMALL(AC41:AC70,2)),AC41:AC70)),0)</f>
        <v>721473512</v>
      </c>
      <c r="AD71" s="25" cm="1">
        <f t="array" ref="AD71">ROUND(AVERAGE(IF((ISNUMBER(AD41:AD70))*(AD41:AD70&lt;LARGE(AD41:AD70,2))*(AD41:AD70&gt;SMALL(AD41:AD70,2)),AD41:AD70)),0)</f>
        <v>203236743</v>
      </c>
      <c r="AE71" s="25" cm="1">
        <f t="array" ref="AE71">ROUND(AVERAGE(IF((ISNUMBER(AE41:AE70))*(AE41:AE70&lt;LARGE(AE41:AE70,2))*(AE41:AE70&gt;SMALL(AE41:AE70,2)),AE41:AE70)),0)</f>
        <v>102562613</v>
      </c>
      <c r="AF71" s="25" cm="1">
        <f t="array" ref="AF71">ROUND(AVERAGE(IF((ISNUMBER(AF41:AF70))*(AF41:AF70&lt;LARGE(AF41:AF70,2))*(AF41:AF70&gt;SMALL(AF41:AF70,2)),AF41:AF70)),0)</f>
        <v>65972682</v>
      </c>
      <c r="AG71" s="25" cm="1">
        <f t="array" ref="AG71">ROUND(AVERAGE(IF((ISNUMBER(AG41:AG70))*(AG41:AG70&lt;LARGE(AG41:AG70,2))*(AG41:AG70&gt;SMALL(AG41:AG70,2)),AG41:AG70)),0)</f>
        <v>62808022</v>
      </c>
      <c r="AH71" s="26" cm="1">
        <f t="array" ref="AH71">ROUND(AVERAGE(IF((ISNUMBER(AH41:AH70))*(AH41:AH70&lt;LARGE(AH41:AH70,2))*(AH41:AH70&gt;SMALL(AH41:AH70,2)),AH41:AH70)),0)</f>
        <v>42752207</v>
      </c>
      <c r="AI71" s="21"/>
    </row>
    <row r="72" spans="2:35" ht="15" thickBot="1" x14ac:dyDescent="0.4">
      <c r="B72" s="31"/>
      <c r="C72" s="28"/>
      <c r="D72" s="3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9"/>
    </row>
    <row r="73" spans="2:35" ht="15" thickBot="1" x14ac:dyDescent="0.4">
      <c r="B73" s="32"/>
      <c r="D73" s="1"/>
    </row>
    <row r="74" spans="2:35" ht="37" x14ac:dyDescent="0.85">
      <c r="B74" s="33" t="s">
        <v>42</v>
      </c>
      <c r="C74" s="15"/>
      <c r="D74" s="3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/>
    </row>
    <row r="75" spans="2:35" ht="15" thickBot="1" x14ac:dyDescent="0.4">
      <c r="B75" s="34"/>
      <c r="C75" s="19"/>
      <c r="D75" s="4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</row>
    <row r="76" spans="2:35" x14ac:dyDescent="0.35">
      <c r="B76" s="30"/>
      <c r="C76" s="44" t="s">
        <v>0</v>
      </c>
      <c r="D76" s="35"/>
      <c r="E76" s="35" t="s">
        <v>1</v>
      </c>
      <c r="F76" s="35" t="s">
        <v>2</v>
      </c>
      <c r="G76" s="35" t="s">
        <v>3</v>
      </c>
      <c r="H76" s="35" t="s">
        <v>4</v>
      </c>
      <c r="I76" s="35" t="s">
        <v>5</v>
      </c>
      <c r="J76" s="35" t="s">
        <v>6</v>
      </c>
      <c r="K76" s="46" t="s">
        <v>7</v>
      </c>
      <c r="L76" s="46"/>
      <c r="M76" s="35" t="s">
        <v>1</v>
      </c>
      <c r="N76" s="35" t="s">
        <v>2</v>
      </c>
      <c r="O76" s="35" t="s">
        <v>3</v>
      </c>
      <c r="P76" s="35" t="s">
        <v>4</v>
      </c>
      <c r="Q76" s="35" t="s">
        <v>5</v>
      </c>
      <c r="R76" s="35" t="s">
        <v>6</v>
      </c>
      <c r="S76" s="46" t="s">
        <v>8</v>
      </c>
      <c r="T76" s="46"/>
      <c r="U76" s="35" t="s">
        <v>1</v>
      </c>
      <c r="V76" s="35" t="s">
        <v>2</v>
      </c>
      <c r="W76" s="35" t="s">
        <v>3</v>
      </c>
      <c r="X76" s="35" t="s">
        <v>4</v>
      </c>
      <c r="Y76" s="35" t="s">
        <v>5</v>
      </c>
      <c r="Z76" s="35" t="s">
        <v>6</v>
      </c>
      <c r="AA76" s="46" t="s">
        <v>9</v>
      </c>
      <c r="AB76" s="46"/>
      <c r="AC76" s="35" t="s">
        <v>1</v>
      </c>
      <c r="AD76" s="35" t="s">
        <v>2</v>
      </c>
      <c r="AE76" s="35" t="s">
        <v>3</v>
      </c>
      <c r="AF76" s="35" t="s">
        <v>4</v>
      </c>
      <c r="AG76" s="35" t="s">
        <v>5</v>
      </c>
      <c r="AH76" s="36" t="s">
        <v>6</v>
      </c>
      <c r="AI76" s="21"/>
    </row>
    <row r="77" spans="2:35" x14ac:dyDescent="0.35">
      <c r="B77" s="30"/>
      <c r="C77" s="23"/>
      <c r="D77" s="42" t="s">
        <v>10</v>
      </c>
      <c r="E77" s="41">
        <v>474389</v>
      </c>
      <c r="F77" s="41">
        <v>250260</v>
      </c>
      <c r="G77" s="41">
        <v>172390</v>
      </c>
      <c r="H77" s="41">
        <v>147824</v>
      </c>
      <c r="I77" s="41">
        <v>127679</v>
      </c>
      <c r="J77" s="41">
        <v>72549</v>
      </c>
      <c r="K77" s="20"/>
      <c r="L77" s="20"/>
      <c r="M77" s="41">
        <v>2775008</v>
      </c>
      <c r="N77" s="41">
        <v>1425529</v>
      </c>
      <c r="O77" s="41">
        <v>741530</v>
      </c>
      <c r="P77" s="41">
        <v>507167</v>
      </c>
      <c r="Q77" s="41">
        <v>428888</v>
      </c>
      <c r="R77" s="41">
        <v>276946</v>
      </c>
      <c r="S77" s="20"/>
      <c r="T77" s="20"/>
      <c r="U77" s="41">
        <v>38023742</v>
      </c>
      <c r="V77" s="41">
        <v>16722199</v>
      </c>
      <c r="W77" s="41">
        <v>9179731</v>
      </c>
      <c r="X77" s="41">
        <v>5103540</v>
      </c>
      <c r="Y77" s="41">
        <v>5721512</v>
      </c>
      <c r="Z77" s="41">
        <v>3451914</v>
      </c>
      <c r="AA77" s="20"/>
      <c r="AB77" s="20"/>
      <c r="AC77" s="41">
        <v>677302195</v>
      </c>
      <c r="AD77" s="41">
        <v>184792237</v>
      </c>
      <c r="AE77" s="41">
        <v>96415088</v>
      </c>
      <c r="AF77" s="41">
        <v>56668912</v>
      </c>
      <c r="AG77" s="41">
        <v>61968374</v>
      </c>
      <c r="AH77" s="43">
        <v>40573152</v>
      </c>
      <c r="AI77" s="21"/>
    </row>
    <row r="78" spans="2:35" x14ac:dyDescent="0.35">
      <c r="B78" s="30"/>
      <c r="C78" s="23"/>
      <c r="D78" s="42" t="s">
        <v>11</v>
      </c>
      <c r="E78" s="41">
        <v>450728</v>
      </c>
      <c r="F78" s="41">
        <v>246080</v>
      </c>
      <c r="G78" s="41">
        <v>173479</v>
      </c>
      <c r="H78" s="41">
        <v>151425</v>
      </c>
      <c r="I78" s="41">
        <v>130238</v>
      </c>
      <c r="J78" s="41">
        <v>71596</v>
      </c>
      <c r="K78" s="20"/>
      <c r="L78" s="20"/>
      <c r="M78" s="41">
        <v>2822732</v>
      </c>
      <c r="N78" s="41">
        <v>1407078</v>
      </c>
      <c r="O78" s="41">
        <v>762521</v>
      </c>
      <c r="P78" s="41">
        <v>514889</v>
      </c>
      <c r="Q78" s="41">
        <v>485402</v>
      </c>
      <c r="R78" s="41">
        <v>242494</v>
      </c>
      <c r="S78" s="20"/>
      <c r="T78" s="20"/>
      <c r="U78" s="41">
        <v>40404549</v>
      </c>
      <c r="V78" s="41">
        <v>17046610</v>
      </c>
      <c r="W78" s="41">
        <v>9234678</v>
      </c>
      <c r="X78" s="41">
        <v>5249450</v>
      </c>
      <c r="Y78" s="41">
        <v>5826403</v>
      </c>
      <c r="Z78" s="41">
        <v>3671502</v>
      </c>
      <c r="AA78" s="20"/>
      <c r="AB78" s="20"/>
      <c r="AC78" s="41">
        <v>267988567</v>
      </c>
      <c r="AD78" s="41">
        <v>188934647</v>
      </c>
      <c r="AE78" s="41">
        <v>96200362</v>
      </c>
      <c r="AF78" s="41">
        <v>57778718</v>
      </c>
      <c r="AG78" s="41">
        <v>61162931</v>
      </c>
      <c r="AH78" s="43">
        <v>40678169</v>
      </c>
      <c r="AI78" s="21"/>
    </row>
    <row r="79" spans="2:35" x14ac:dyDescent="0.35">
      <c r="B79" s="30"/>
      <c r="C79" s="23"/>
      <c r="D79" s="42" t="s">
        <v>12</v>
      </c>
      <c r="E79" s="41">
        <v>402614</v>
      </c>
      <c r="F79" s="41">
        <v>236414</v>
      </c>
      <c r="G79" s="41">
        <v>172291</v>
      </c>
      <c r="H79" s="41">
        <v>163859</v>
      </c>
      <c r="I79" s="41">
        <v>125903</v>
      </c>
      <c r="J79" s="41">
        <v>72302</v>
      </c>
      <c r="K79" s="20"/>
      <c r="L79" s="20"/>
      <c r="M79" s="41">
        <v>2822855</v>
      </c>
      <c r="N79" s="41">
        <v>1370139</v>
      </c>
      <c r="O79" s="41">
        <v>812286</v>
      </c>
      <c r="P79" s="41">
        <v>560155</v>
      </c>
      <c r="Q79" s="41">
        <v>447202</v>
      </c>
      <c r="R79" s="41">
        <v>266548</v>
      </c>
      <c r="S79" s="20"/>
      <c r="T79" s="20"/>
      <c r="U79" s="41">
        <v>35697125</v>
      </c>
      <c r="V79" s="41">
        <v>16730358</v>
      </c>
      <c r="W79" s="41">
        <v>9102895</v>
      </c>
      <c r="X79" s="41">
        <v>5445186</v>
      </c>
      <c r="Y79" s="41">
        <v>5507392</v>
      </c>
      <c r="Z79" s="41">
        <v>3788369</v>
      </c>
      <c r="AA79" s="20"/>
      <c r="AB79" s="20"/>
      <c r="AC79" s="41">
        <v>585508781</v>
      </c>
      <c r="AD79" s="41">
        <v>189898701</v>
      </c>
      <c r="AE79" s="41">
        <v>96212500</v>
      </c>
      <c r="AF79" s="41">
        <v>56164928</v>
      </c>
      <c r="AG79" s="41">
        <v>61295711</v>
      </c>
      <c r="AH79" s="43">
        <v>42850696</v>
      </c>
      <c r="AI79" s="21"/>
    </row>
    <row r="80" spans="2:35" x14ac:dyDescent="0.35">
      <c r="B80" s="30"/>
      <c r="C80" s="23"/>
      <c r="D80" s="42" t="s">
        <v>13</v>
      </c>
      <c r="E80" s="41">
        <v>432754</v>
      </c>
      <c r="F80" s="41">
        <v>231427</v>
      </c>
      <c r="G80" s="41">
        <v>209216</v>
      </c>
      <c r="H80" s="41">
        <v>108080</v>
      </c>
      <c r="I80" s="41">
        <v>121917</v>
      </c>
      <c r="J80" s="41">
        <v>74222</v>
      </c>
      <c r="K80" s="20"/>
      <c r="L80" s="20"/>
      <c r="M80" s="41">
        <v>2782824</v>
      </c>
      <c r="N80" s="41">
        <v>1446666</v>
      </c>
      <c r="O80" s="41">
        <v>877420</v>
      </c>
      <c r="P80" s="41">
        <v>501113</v>
      </c>
      <c r="Q80" s="41">
        <v>416901</v>
      </c>
      <c r="R80" s="41">
        <v>259113</v>
      </c>
      <c r="S80" s="20"/>
      <c r="T80" s="20"/>
      <c r="U80" s="41">
        <v>31591395</v>
      </c>
      <c r="V80" s="41">
        <v>16406652</v>
      </c>
      <c r="W80" s="41">
        <v>9113358</v>
      </c>
      <c r="X80" s="41">
        <v>5198364</v>
      </c>
      <c r="Y80" s="41">
        <v>5745516</v>
      </c>
      <c r="Z80" s="41">
        <v>3740803</v>
      </c>
      <c r="AA80" s="20"/>
      <c r="AB80" s="20"/>
      <c r="AC80" s="41">
        <v>621770701</v>
      </c>
      <c r="AD80" s="41">
        <v>190027409</v>
      </c>
      <c r="AE80" s="41">
        <v>96292809</v>
      </c>
      <c r="AF80" s="41">
        <v>57740084</v>
      </c>
      <c r="AG80" s="41">
        <v>61836587</v>
      </c>
      <c r="AH80" s="43">
        <v>41421643</v>
      </c>
      <c r="AI80" s="21"/>
    </row>
    <row r="81" spans="2:35" x14ac:dyDescent="0.35">
      <c r="B81" s="30"/>
      <c r="C81" s="23"/>
      <c r="D81" s="42" t="s">
        <v>14</v>
      </c>
      <c r="E81" s="41">
        <v>388028</v>
      </c>
      <c r="F81" s="41">
        <v>233853</v>
      </c>
      <c r="G81" s="41">
        <v>200742</v>
      </c>
      <c r="H81" s="41">
        <v>148329</v>
      </c>
      <c r="I81" s="41">
        <v>120582</v>
      </c>
      <c r="J81" s="41">
        <v>69602</v>
      </c>
      <c r="K81" s="20"/>
      <c r="L81" s="20"/>
      <c r="M81" s="41">
        <v>2744964</v>
      </c>
      <c r="N81" s="41">
        <v>1435697</v>
      </c>
      <c r="O81" s="41">
        <v>890644</v>
      </c>
      <c r="P81" s="41">
        <v>494516</v>
      </c>
      <c r="Q81" s="41">
        <v>407615</v>
      </c>
      <c r="R81" s="41">
        <v>231252</v>
      </c>
      <c r="S81" s="20"/>
      <c r="T81" s="20"/>
      <c r="U81" s="41">
        <v>31180097</v>
      </c>
      <c r="V81" s="41">
        <v>16744073</v>
      </c>
      <c r="W81" s="41">
        <v>8764452</v>
      </c>
      <c r="X81" s="41">
        <v>5486917</v>
      </c>
      <c r="Y81" s="41">
        <v>5888338</v>
      </c>
      <c r="Z81" s="41">
        <v>3677413</v>
      </c>
      <c r="AA81" s="20"/>
      <c r="AB81" s="20"/>
      <c r="AC81" s="41">
        <v>437578711</v>
      </c>
      <c r="AD81" s="41">
        <v>187904363</v>
      </c>
      <c r="AE81" s="41">
        <v>96529093</v>
      </c>
      <c r="AF81" s="41">
        <v>57428709</v>
      </c>
      <c r="AG81" s="41">
        <v>62708430</v>
      </c>
      <c r="AH81" s="43">
        <v>42085937</v>
      </c>
      <c r="AI81" s="21"/>
    </row>
    <row r="82" spans="2:35" x14ac:dyDescent="0.35">
      <c r="B82" s="30"/>
      <c r="C82" s="23"/>
      <c r="D82" s="42" t="s">
        <v>15</v>
      </c>
      <c r="E82" s="41">
        <v>406647</v>
      </c>
      <c r="F82" s="41">
        <v>231150</v>
      </c>
      <c r="G82" s="41">
        <v>181242</v>
      </c>
      <c r="H82" s="41">
        <v>153168</v>
      </c>
      <c r="I82" s="41">
        <v>130699</v>
      </c>
      <c r="J82" s="41">
        <v>74766</v>
      </c>
      <c r="K82" s="20"/>
      <c r="L82" s="20"/>
      <c r="M82" s="41">
        <v>2748393</v>
      </c>
      <c r="N82" s="41">
        <v>1434625</v>
      </c>
      <c r="O82" s="41">
        <v>770336</v>
      </c>
      <c r="P82" s="41">
        <v>513334</v>
      </c>
      <c r="Q82" s="41">
        <v>458793</v>
      </c>
      <c r="R82" s="41">
        <v>242294</v>
      </c>
      <c r="S82" s="20"/>
      <c r="T82" s="20"/>
      <c r="U82" s="41">
        <v>30477655</v>
      </c>
      <c r="V82" s="41">
        <v>17845559</v>
      </c>
      <c r="W82" s="41">
        <v>8968522</v>
      </c>
      <c r="X82" s="41">
        <v>5477566</v>
      </c>
      <c r="Y82" s="41">
        <v>5508125</v>
      </c>
      <c r="Z82" s="41">
        <v>3725476</v>
      </c>
      <c r="AA82" s="20"/>
      <c r="AB82" s="20"/>
      <c r="AC82" s="41">
        <v>647900084</v>
      </c>
      <c r="AD82" s="41">
        <v>189820970</v>
      </c>
      <c r="AE82" s="41">
        <v>97185972</v>
      </c>
      <c r="AF82" s="41">
        <v>57559495</v>
      </c>
      <c r="AG82" s="41">
        <v>61537542</v>
      </c>
      <c r="AH82" s="43">
        <v>40757672</v>
      </c>
      <c r="AI82" s="21"/>
    </row>
    <row r="83" spans="2:35" x14ac:dyDescent="0.35">
      <c r="B83" s="30"/>
      <c r="C83" s="23"/>
      <c r="D83" s="42" t="s">
        <v>16</v>
      </c>
      <c r="E83" s="41">
        <v>382337</v>
      </c>
      <c r="F83" s="41">
        <v>239916</v>
      </c>
      <c r="G83" s="41">
        <v>183010</v>
      </c>
      <c r="H83" s="41">
        <v>156820</v>
      </c>
      <c r="I83" s="41">
        <v>125708</v>
      </c>
      <c r="J83" s="41">
        <v>71707</v>
      </c>
      <c r="K83" s="20"/>
      <c r="L83" s="20"/>
      <c r="M83" s="41">
        <v>2763729</v>
      </c>
      <c r="N83" s="41">
        <v>1424574</v>
      </c>
      <c r="O83" s="41">
        <v>818261</v>
      </c>
      <c r="P83" s="41">
        <v>487542</v>
      </c>
      <c r="Q83" s="41">
        <v>439818</v>
      </c>
      <c r="R83" s="41">
        <v>248732</v>
      </c>
      <c r="S83" s="20"/>
      <c r="T83" s="20"/>
      <c r="U83" s="41">
        <v>32666316</v>
      </c>
      <c r="V83" s="41">
        <v>17789691</v>
      </c>
      <c r="W83" s="41">
        <v>8906540</v>
      </c>
      <c r="X83" s="41">
        <v>5434181</v>
      </c>
      <c r="Y83" s="41">
        <v>5657095</v>
      </c>
      <c r="Z83" s="41">
        <v>3715213</v>
      </c>
      <c r="AA83" s="20"/>
      <c r="AB83" s="20"/>
      <c r="AC83" s="41">
        <v>647767168</v>
      </c>
      <c r="AD83" s="41">
        <v>188869809</v>
      </c>
      <c r="AE83" s="41">
        <v>96111407</v>
      </c>
      <c r="AF83" s="41">
        <v>56476835</v>
      </c>
      <c r="AG83" s="41">
        <v>61289201</v>
      </c>
      <c r="AH83" s="43">
        <v>42433998</v>
      </c>
      <c r="AI83" s="21"/>
    </row>
    <row r="84" spans="2:35" x14ac:dyDescent="0.35">
      <c r="B84" s="30"/>
      <c r="C84" s="23"/>
      <c r="D84" s="42" t="s">
        <v>17</v>
      </c>
      <c r="E84" s="41">
        <v>382116</v>
      </c>
      <c r="F84" s="41">
        <v>229842</v>
      </c>
      <c r="G84" s="41">
        <v>149498</v>
      </c>
      <c r="H84" s="41">
        <v>149407</v>
      </c>
      <c r="I84" s="41">
        <v>123969</v>
      </c>
      <c r="J84" s="41">
        <v>71861</v>
      </c>
      <c r="K84" s="20"/>
      <c r="L84" s="20"/>
      <c r="M84" s="41">
        <v>2822764</v>
      </c>
      <c r="N84" s="41">
        <v>1467771</v>
      </c>
      <c r="O84" s="41">
        <v>891128</v>
      </c>
      <c r="P84" s="41">
        <v>528382</v>
      </c>
      <c r="Q84" s="41">
        <v>413797</v>
      </c>
      <c r="R84" s="41">
        <v>261466</v>
      </c>
      <c r="S84" s="20"/>
      <c r="T84" s="20"/>
      <c r="U84" s="41">
        <v>33927375</v>
      </c>
      <c r="V84" s="41">
        <v>16991288</v>
      </c>
      <c r="W84" s="41">
        <v>8787390</v>
      </c>
      <c r="X84" s="41">
        <v>5326604</v>
      </c>
      <c r="Y84" s="41">
        <v>5579536</v>
      </c>
      <c r="Z84" s="41">
        <v>3671787</v>
      </c>
      <c r="AA84" s="20"/>
      <c r="AB84" s="20"/>
      <c r="AC84" s="41">
        <v>503030663</v>
      </c>
      <c r="AD84" s="41">
        <v>188799078</v>
      </c>
      <c r="AE84" s="41">
        <v>97294872</v>
      </c>
      <c r="AF84" s="41">
        <v>57519230</v>
      </c>
      <c r="AG84" s="41">
        <v>62703626</v>
      </c>
      <c r="AH84" s="43">
        <v>42824354</v>
      </c>
      <c r="AI84" s="21"/>
    </row>
    <row r="85" spans="2:35" x14ac:dyDescent="0.35">
      <c r="B85" s="30"/>
      <c r="C85" s="23"/>
      <c r="D85" s="42" t="s">
        <v>18</v>
      </c>
      <c r="E85" s="41">
        <v>384210</v>
      </c>
      <c r="F85" s="41">
        <v>217705</v>
      </c>
      <c r="G85" s="41">
        <v>166970</v>
      </c>
      <c r="H85" s="41">
        <v>153725</v>
      </c>
      <c r="I85" s="41">
        <v>131289</v>
      </c>
      <c r="J85" s="41">
        <v>72093</v>
      </c>
      <c r="K85" s="20"/>
      <c r="L85" s="20"/>
      <c r="M85" s="41">
        <v>2785116</v>
      </c>
      <c r="N85" s="41">
        <v>1375078</v>
      </c>
      <c r="O85" s="41">
        <v>891615</v>
      </c>
      <c r="P85" s="41">
        <v>499227</v>
      </c>
      <c r="Q85" s="41">
        <v>450200</v>
      </c>
      <c r="R85" s="41">
        <v>230658</v>
      </c>
      <c r="S85" s="20"/>
      <c r="T85" s="20"/>
      <c r="U85" s="41">
        <v>33146366</v>
      </c>
      <c r="V85" s="41">
        <v>17990608</v>
      </c>
      <c r="W85" s="41">
        <v>9216212</v>
      </c>
      <c r="X85" s="41">
        <v>5402847</v>
      </c>
      <c r="Y85" s="41">
        <v>5797625</v>
      </c>
      <c r="Z85" s="41">
        <v>3624028</v>
      </c>
      <c r="AA85" s="20"/>
      <c r="AB85" s="20"/>
      <c r="AC85" s="41">
        <v>350506780</v>
      </c>
      <c r="AD85" s="41">
        <v>189396479</v>
      </c>
      <c r="AE85" s="41">
        <v>97208676</v>
      </c>
      <c r="AF85" s="41">
        <v>57346460</v>
      </c>
      <c r="AG85" s="41">
        <v>62101729</v>
      </c>
      <c r="AH85" s="43">
        <v>41434712</v>
      </c>
      <c r="AI85" s="21"/>
    </row>
    <row r="86" spans="2:35" x14ac:dyDescent="0.35">
      <c r="B86" s="30"/>
      <c r="C86" s="23"/>
      <c r="D86" s="42" t="s">
        <v>19</v>
      </c>
      <c r="E86" s="41">
        <v>373046</v>
      </c>
      <c r="F86" s="41">
        <v>264726</v>
      </c>
      <c r="G86" s="41">
        <v>188497</v>
      </c>
      <c r="H86" s="41">
        <v>141535</v>
      </c>
      <c r="I86" s="41">
        <v>129340</v>
      </c>
      <c r="J86" s="41">
        <v>74724</v>
      </c>
      <c r="K86" s="20"/>
      <c r="L86" s="20"/>
      <c r="M86" s="41">
        <v>2781049</v>
      </c>
      <c r="N86" s="41">
        <v>1401693</v>
      </c>
      <c r="O86" s="41">
        <v>740359</v>
      </c>
      <c r="P86" s="41">
        <v>486473</v>
      </c>
      <c r="Q86" s="41">
        <v>441748</v>
      </c>
      <c r="R86" s="41">
        <v>232837</v>
      </c>
      <c r="S86" s="20"/>
      <c r="T86" s="20"/>
      <c r="U86" s="41">
        <v>27023287</v>
      </c>
      <c r="V86" s="41">
        <v>17079181</v>
      </c>
      <c r="W86" s="41">
        <v>9758187</v>
      </c>
      <c r="X86" s="41">
        <v>5501693</v>
      </c>
      <c r="Y86" s="41">
        <v>5813309</v>
      </c>
      <c r="Z86" s="41">
        <v>3646522</v>
      </c>
      <c r="AA86" s="20"/>
      <c r="AB86" s="20"/>
      <c r="AC86" s="41">
        <v>539094017</v>
      </c>
      <c r="AD86" s="41">
        <v>185619956</v>
      </c>
      <c r="AE86" s="41">
        <v>97265713</v>
      </c>
      <c r="AF86" s="41">
        <v>57444471</v>
      </c>
      <c r="AG86" s="41">
        <v>62670945</v>
      </c>
      <c r="AH86" s="43">
        <v>40468041</v>
      </c>
      <c r="AI86" s="21"/>
    </row>
    <row r="87" spans="2:35" x14ac:dyDescent="0.35">
      <c r="B87" s="30"/>
      <c r="C87" s="23"/>
      <c r="D87" s="42" t="s">
        <v>20</v>
      </c>
      <c r="E87" s="41">
        <v>414477</v>
      </c>
      <c r="F87" s="41">
        <v>247303</v>
      </c>
      <c r="G87" s="41">
        <v>165308</v>
      </c>
      <c r="H87" s="41">
        <v>158615</v>
      </c>
      <c r="I87" s="41">
        <v>130000</v>
      </c>
      <c r="J87" s="41">
        <v>71156</v>
      </c>
      <c r="K87" s="20"/>
      <c r="L87" s="20"/>
      <c r="M87" s="41">
        <v>2907227</v>
      </c>
      <c r="N87" s="41">
        <v>1362887</v>
      </c>
      <c r="O87" s="41">
        <v>768862</v>
      </c>
      <c r="P87" s="41">
        <v>510518</v>
      </c>
      <c r="Q87" s="41">
        <v>452248</v>
      </c>
      <c r="R87" s="41">
        <v>245525</v>
      </c>
      <c r="S87" s="20"/>
      <c r="T87" s="20"/>
      <c r="U87" s="41">
        <v>27218528</v>
      </c>
      <c r="V87" s="41">
        <v>17329550</v>
      </c>
      <c r="W87" s="41">
        <v>8936530</v>
      </c>
      <c r="X87" s="41">
        <v>5089680</v>
      </c>
      <c r="Y87" s="41">
        <v>5617279</v>
      </c>
      <c r="Z87" s="41">
        <v>3632735</v>
      </c>
      <c r="AA87" s="20"/>
      <c r="AB87" s="20"/>
      <c r="AC87" s="41">
        <v>391200588</v>
      </c>
      <c r="AD87" s="41">
        <v>186181934</v>
      </c>
      <c r="AE87" s="41">
        <v>96528978</v>
      </c>
      <c r="AF87" s="41">
        <v>57409113</v>
      </c>
      <c r="AG87" s="41">
        <v>61784235</v>
      </c>
      <c r="AH87" s="43">
        <v>42142246</v>
      </c>
      <c r="AI87" s="21"/>
    </row>
    <row r="88" spans="2:35" x14ac:dyDescent="0.35">
      <c r="B88" s="30"/>
      <c r="C88" s="23"/>
      <c r="D88" s="42" t="s">
        <v>21</v>
      </c>
      <c r="E88" s="41">
        <v>381173</v>
      </c>
      <c r="F88" s="41">
        <v>240832</v>
      </c>
      <c r="G88" s="41">
        <v>156195</v>
      </c>
      <c r="H88" s="41">
        <v>138372</v>
      </c>
      <c r="I88" s="41">
        <v>130560</v>
      </c>
      <c r="J88" s="41">
        <v>70213</v>
      </c>
      <c r="K88" s="20"/>
      <c r="L88" s="20"/>
      <c r="M88" s="41">
        <v>2863996</v>
      </c>
      <c r="N88" s="41">
        <v>1449873</v>
      </c>
      <c r="O88" s="41">
        <v>773900</v>
      </c>
      <c r="P88" s="41">
        <v>505060</v>
      </c>
      <c r="Q88" s="41">
        <v>434347</v>
      </c>
      <c r="R88" s="41">
        <v>245655</v>
      </c>
      <c r="S88" s="20"/>
      <c r="T88" s="20"/>
      <c r="U88" s="41">
        <v>26697928</v>
      </c>
      <c r="V88" s="41">
        <v>16503440</v>
      </c>
      <c r="W88" s="41">
        <v>9388439</v>
      </c>
      <c r="X88" s="41">
        <v>5315283</v>
      </c>
      <c r="Y88" s="41">
        <v>5511001</v>
      </c>
      <c r="Z88" s="41">
        <v>3647194</v>
      </c>
      <c r="AA88" s="20"/>
      <c r="AB88" s="20"/>
      <c r="AC88" s="41">
        <v>606794280</v>
      </c>
      <c r="AD88" s="41">
        <v>186808163</v>
      </c>
      <c r="AE88" s="41">
        <v>96925302</v>
      </c>
      <c r="AF88" s="41">
        <v>57807788</v>
      </c>
      <c r="AG88" s="41">
        <v>61187103</v>
      </c>
      <c r="AH88" s="43">
        <v>42091485</v>
      </c>
      <c r="AI88" s="21"/>
    </row>
    <row r="89" spans="2:35" x14ac:dyDescent="0.35">
      <c r="B89" s="30"/>
      <c r="C89" s="23"/>
      <c r="D89" s="42" t="s">
        <v>22</v>
      </c>
      <c r="E89" s="41">
        <v>382647</v>
      </c>
      <c r="F89" s="41">
        <v>242135</v>
      </c>
      <c r="G89" s="41">
        <v>201856</v>
      </c>
      <c r="H89" s="41">
        <v>142014</v>
      </c>
      <c r="I89" s="41">
        <v>131620</v>
      </c>
      <c r="J89" s="41">
        <v>75167</v>
      </c>
      <c r="K89" s="20"/>
      <c r="L89" s="20"/>
      <c r="M89" s="41">
        <v>2765005</v>
      </c>
      <c r="N89" s="41">
        <v>1465129</v>
      </c>
      <c r="O89" s="41">
        <v>947237</v>
      </c>
      <c r="P89" s="41">
        <v>510364</v>
      </c>
      <c r="Q89" s="41">
        <v>450978</v>
      </c>
      <c r="R89" s="41">
        <v>282043</v>
      </c>
      <c r="S89" s="20"/>
      <c r="T89" s="20"/>
      <c r="U89" s="41">
        <v>30601833</v>
      </c>
      <c r="V89" s="41">
        <v>18010273</v>
      </c>
      <c r="W89" s="41">
        <v>9095832</v>
      </c>
      <c r="X89" s="41">
        <v>5217833</v>
      </c>
      <c r="Y89" s="41">
        <v>5669903</v>
      </c>
      <c r="Z89" s="41">
        <v>3697630</v>
      </c>
      <c r="AA89" s="20"/>
      <c r="AB89" s="20"/>
      <c r="AC89" s="41">
        <v>674687926</v>
      </c>
      <c r="AD89" s="41">
        <v>187051443</v>
      </c>
      <c r="AE89" s="41">
        <v>97725528</v>
      </c>
      <c r="AF89" s="41">
        <v>57783336</v>
      </c>
      <c r="AG89" s="41">
        <v>61620483</v>
      </c>
      <c r="AH89" s="43">
        <v>41463994</v>
      </c>
      <c r="AI89" s="21"/>
    </row>
    <row r="90" spans="2:35" x14ac:dyDescent="0.35">
      <c r="B90" s="30"/>
      <c r="C90" s="23"/>
      <c r="D90" s="42" t="s">
        <v>23</v>
      </c>
      <c r="E90" s="41">
        <v>407686</v>
      </c>
      <c r="F90" s="41">
        <v>244190</v>
      </c>
      <c r="G90" s="41">
        <v>164576</v>
      </c>
      <c r="H90" s="41">
        <v>154323</v>
      </c>
      <c r="I90" s="41">
        <v>133496</v>
      </c>
      <c r="J90" s="41">
        <v>74339</v>
      </c>
      <c r="K90" s="20"/>
      <c r="L90" s="20"/>
      <c r="M90" s="41">
        <v>2809214</v>
      </c>
      <c r="N90" s="41">
        <v>1411182</v>
      </c>
      <c r="O90" s="41">
        <v>779250</v>
      </c>
      <c r="P90" s="41">
        <v>474349</v>
      </c>
      <c r="Q90" s="41">
        <v>450880</v>
      </c>
      <c r="R90" s="41">
        <v>235940</v>
      </c>
      <c r="S90" s="20"/>
      <c r="T90" s="20"/>
      <c r="U90" s="41">
        <v>31292803</v>
      </c>
      <c r="V90" s="41">
        <v>16679565</v>
      </c>
      <c r="W90" s="41">
        <v>9165650</v>
      </c>
      <c r="X90" s="41">
        <v>5560751</v>
      </c>
      <c r="Y90" s="41">
        <v>5471987</v>
      </c>
      <c r="Z90" s="41">
        <v>3801479</v>
      </c>
      <c r="AA90" s="20"/>
      <c r="AB90" s="20"/>
      <c r="AC90" s="41">
        <v>688054305</v>
      </c>
      <c r="AD90" s="41">
        <v>188500764</v>
      </c>
      <c r="AE90" s="41">
        <v>96712710</v>
      </c>
      <c r="AF90" s="41">
        <v>57392698</v>
      </c>
      <c r="AG90" s="41">
        <v>61345308</v>
      </c>
      <c r="AH90" s="43">
        <v>41458980</v>
      </c>
      <c r="AI90" s="21"/>
    </row>
    <row r="91" spans="2:35" x14ac:dyDescent="0.35">
      <c r="B91" s="30"/>
      <c r="C91" s="23"/>
      <c r="D91" s="42" t="s">
        <v>24</v>
      </c>
      <c r="E91" s="41">
        <v>381929</v>
      </c>
      <c r="F91" s="41">
        <v>233552</v>
      </c>
      <c r="G91" s="41">
        <v>185932</v>
      </c>
      <c r="H91" s="41">
        <v>145804</v>
      </c>
      <c r="I91" s="41">
        <v>136267</v>
      </c>
      <c r="J91" s="41">
        <v>74050</v>
      </c>
      <c r="K91" s="20"/>
      <c r="L91" s="20"/>
      <c r="M91" s="41">
        <v>2918895</v>
      </c>
      <c r="N91" s="41">
        <v>1444655</v>
      </c>
      <c r="O91" s="41">
        <v>832043</v>
      </c>
      <c r="P91" s="41">
        <v>475230</v>
      </c>
      <c r="Q91" s="41">
        <v>452033</v>
      </c>
      <c r="R91" s="41">
        <v>264603</v>
      </c>
      <c r="S91" s="20"/>
      <c r="T91" s="20"/>
      <c r="U91" s="41">
        <v>34401790</v>
      </c>
      <c r="V91" s="41">
        <v>16477673</v>
      </c>
      <c r="W91" s="41">
        <v>9783957</v>
      </c>
      <c r="X91" s="41">
        <v>5576576</v>
      </c>
      <c r="Y91" s="41">
        <v>5649364</v>
      </c>
      <c r="Z91" s="41">
        <v>3760393</v>
      </c>
      <c r="AA91" s="20"/>
      <c r="AB91" s="20"/>
      <c r="AC91" s="41">
        <v>643310593</v>
      </c>
      <c r="AD91" s="41">
        <v>186339301</v>
      </c>
      <c r="AE91" s="41">
        <v>95981531</v>
      </c>
      <c r="AF91" s="41">
        <v>57747080</v>
      </c>
      <c r="AG91" s="41">
        <v>62991834</v>
      </c>
      <c r="AH91" s="43">
        <v>41140233</v>
      </c>
      <c r="AI91" s="21"/>
    </row>
    <row r="92" spans="2:35" x14ac:dyDescent="0.35">
      <c r="B92" s="30"/>
      <c r="C92" s="23"/>
      <c r="D92" s="42" t="s">
        <v>25</v>
      </c>
      <c r="E92" s="41">
        <v>408096</v>
      </c>
      <c r="F92" s="41">
        <v>225975</v>
      </c>
      <c r="G92" s="41">
        <v>185536</v>
      </c>
      <c r="H92" s="41">
        <v>165235</v>
      </c>
      <c r="I92" s="41">
        <v>120467</v>
      </c>
      <c r="J92" s="41">
        <v>72165</v>
      </c>
      <c r="K92" s="20"/>
      <c r="L92" s="20"/>
      <c r="M92" s="41">
        <v>2817015</v>
      </c>
      <c r="N92" s="41">
        <v>1413691</v>
      </c>
      <c r="O92" s="41">
        <v>780915</v>
      </c>
      <c r="P92" s="41">
        <v>510930</v>
      </c>
      <c r="Q92" s="41">
        <v>434592</v>
      </c>
      <c r="R92" s="41">
        <v>282403</v>
      </c>
      <c r="S92" s="20"/>
      <c r="T92" s="20"/>
      <c r="U92" s="41">
        <v>27941520</v>
      </c>
      <c r="V92" s="41">
        <v>17367507</v>
      </c>
      <c r="W92" s="41">
        <v>9149435</v>
      </c>
      <c r="X92" s="41">
        <v>5294116</v>
      </c>
      <c r="Y92" s="41">
        <v>5514326</v>
      </c>
      <c r="Z92" s="41">
        <v>3647720</v>
      </c>
      <c r="AA92" s="20"/>
      <c r="AB92" s="20"/>
      <c r="AC92" s="41">
        <v>669062450</v>
      </c>
      <c r="AD92" s="41">
        <v>189218582</v>
      </c>
      <c r="AE92" s="41">
        <v>97410090</v>
      </c>
      <c r="AF92" s="41">
        <v>57382200</v>
      </c>
      <c r="AG92" s="41">
        <v>61840899</v>
      </c>
      <c r="AH92" s="43">
        <v>40772713</v>
      </c>
      <c r="AI92" s="21"/>
    </row>
    <row r="93" spans="2:35" x14ac:dyDescent="0.35">
      <c r="B93" s="30"/>
      <c r="C93" s="23"/>
      <c r="D93" s="42" t="s">
        <v>26</v>
      </c>
      <c r="E93" s="41">
        <v>379155</v>
      </c>
      <c r="F93" s="41">
        <v>260482</v>
      </c>
      <c r="G93" s="41">
        <v>200345</v>
      </c>
      <c r="H93" s="41">
        <v>153945</v>
      </c>
      <c r="I93" s="41">
        <v>131114</v>
      </c>
      <c r="J93" s="41">
        <v>74863</v>
      </c>
      <c r="K93" s="20"/>
      <c r="L93" s="20"/>
      <c r="M93" s="41">
        <v>2771468</v>
      </c>
      <c r="N93" s="41">
        <v>1392031</v>
      </c>
      <c r="O93" s="41">
        <v>938336</v>
      </c>
      <c r="P93" s="41">
        <v>500726</v>
      </c>
      <c r="Q93" s="41">
        <v>420530</v>
      </c>
      <c r="R93" s="41">
        <v>279945</v>
      </c>
      <c r="S93" s="20"/>
      <c r="T93" s="20"/>
      <c r="U93" s="41">
        <v>34196084</v>
      </c>
      <c r="V93" s="41">
        <v>17486839</v>
      </c>
      <c r="W93" s="41">
        <v>8956524</v>
      </c>
      <c r="X93" s="41">
        <v>5263333</v>
      </c>
      <c r="Y93" s="41">
        <v>5620032</v>
      </c>
      <c r="Z93" s="41">
        <v>3682166</v>
      </c>
      <c r="AA93" s="20"/>
      <c r="AB93" s="20"/>
      <c r="AC93" s="41">
        <v>630020412</v>
      </c>
      <c r="AD93" s="41">
        <v>187358932</v>
      </c>
      <c r="AE93" s="41">
        <v>96672973</v>
      </c>
      <c r="AF93" s="41">
        <v>57287314</v>
      </c>
      <c r="AG93" s="41">
        <v>61594198</v>
      </c>
      <c r="AH93" s="43">
        <v>42439510</v>
      </c>
      <c r="AI93" s="21"/>
    </row>
    <row r="94" spans="2:35" x14ac:dyDescent="0.35">
      <c r="B94" s="30"/>
      <c r="C94" s="23"/>
      <c r="D94" s="42" t="s">
        <v>27</v>
      </c>
      <c r="E94" s="41">
        <v>399863</v>
      </c>
      <c r="F94" s="41">
        <v>245888</v>
      </c>
      <c r="G94" s="41">
        <v>183301</v>
      </c>
      <c r="H94" s="41">
        <v>140835</v>
      </c>
      <c r="I94" s="41">
        <v>130879</v>
      </c>
      <c r="J94" s="41">
        <v>71930</v>
      </c>
      <c r="K94" s="20"/>
      <c r="L94" s="20"/>
      <c r="M94" s="41">
        <v>2785618</v>
      </c>
      <c r="N94" s="41">
        <v>1399169</v>
      </c>
      <c r="O94" s="41">
        <v>768271</v>
      </c>
      <c r="P94" s="41">
        <v>514100</v>
      </c>
      <c r="Q94" s="41">
        <v>408105</v>
      </c>
      <c r="R94" s="41">
        <v>266264</v>
      </c>
      <c r="S94" s="20"/>
      <c r="T94" s="20"/>
      <c r="U94" s="41">
        <v>32063092</v>
      </c>
      <c r="V94" s="41">
        <v>17104963</v>
      </c>
      <c r="W94" s="41">
        <v>8962663</v>
      </c>
      <c r="X94" s="41">
        <v>5255610</v>
      </c>
      <c r="Y94" s="41">
        <v>5734087</v>
      </c>
      <c r="Z94" s="41">
        <v>3695898</v>
      </c>
      <c r="AA94" s="20"/>
      <c r="AB94" s="20"/>
      <c r="AC94" s="41">
        <v>529437217</v>
      </c>
      <c r="AD94" s="41">
        <v>188029455</v>
      </c>
      <c r="AE94" s="41">
        <v>96226762</v>
      </c>
      <c r="AF94" s="41">
        <v>56887793</v>
      </c>
      <c r="AG94" s="41">
        <v>61471484</v>
      </c>
      <c r="AH94" s="43">
        <v>41461776</v>
      </c>
      <c r="AI94" s="21"/>
    </row>
    <row r="95" spans="2:35" x14ac:dyDescent="0.35">
      <c r="B95" s="30"/>
      <c r="C95" s="23"/>
      <c r="D95" s="42" t="s">
        <v>28</v>
      </c>
      <c r="E95" s="41">
        <v>412681</v>
      </c>
      <c r="F95" s="41">
        <v>226434</v>
      </c>
      <c r="G95" s="41">
        <v>181469</v>
      </c>
      <c r="H95" s="41">
        <v>172485</v>
      </c>
      <c r="I95" s="41">
        <v>128707</v>
      </c>
      <c r="J95" s="41">
        <v>73045</v>
      </c>
      <c r="K95" s="20"/>
      <c r="L95" s="20"/>
      <c r="M95" s="41">
        <v>2766595</v>
      </c>
      <c r="N95" s="41">
        <v>1450609</v>
      </c>
      <c r="O95" s="41">
        <v>786809</v>
      </c>
      <c r="P95" s="41">
        <v>504207</v>
      </c>
      <c r="Q95" s="41">
        <v>407869</v>
      </c>
      <c r="R95" s="41">
        <v>269075</v>
      </c>
      <c r="S95" s="20"/>
      <c r="T95" s="20"/>
      <c r="U95" s="41">
        <v>33875134</v>
      </c>
      <c r="V95" s="41">
        <v>17210978</v>
      </c>
      <c r="W95" s="41">
        <v>9568727</v>
      </c>
      <c r="X95" s="41">
        <v>5257195</v>
      </c>
      <c r="Y95" s="41">
        <v>5775664</v>
      </c>
      <c r="Z95" s="41">
        <v>3654282</v>
      </c>
      <c r="AA95" s="20"/>
      <c r="AB95" s="20"/>
      <c r="AC95" s="41">
        <v>502363098</v>
      </c>
      <c r="AD95" s="41">
        <v>188871010</v>
      </c>
      <c r="AE95" s="41">
        <v>97138789</v>
      </c>
      <c r="AF95" s="41">
        <v>57520013</v>
      </c>
      <c r="AG95" s="41">
        <v>61709996</v>
      </c>
      <c r="AH95" s="43">
        <v>41340406</v>
      </c>
      <c r="AI95" s="21"/>
    </row>
    <row r="96" spans="2:35" x14ac:dyDescent="0.35">
      <c r="B96" s="30"/>
      <c r="C96" s="23"/>
      <c r="D96" s="42" t="s">
        <v>29</v>
      </c>
      <c r="E96" s="41">
        <v>383683</v>
      </c>
      <c r="F96" s="41">
        <v>244312</v>
      </c>
      <c r="G96" s="41">
        <v>182170</v>
      </c>
      <c r="H96" s="41">
        <v>158081</v>
      </c>
      <c r="I96" s="41">
        <v>127346</v>
      </c>
      <c r="J96" s="41">
        <v>70967</v>
      </c>
      <c r="K96" s="20"/>
      <c r="L96" s="20"/>
      <c r="M96" s="41">
        <v>2942333</v>
      </c>
      <c r="N96" s="41">
        <v>1405157</v>
      </c>
      <c r="O96" s="41">
        <v>866038</v>
      </c>
      <c r="P96" s="41">
        <v>499020</v>
      </c>
      <c r="Q96" s="41">
        <v>411212</v>
      </c>
      <c r="R96" s="41">
        <v>245622</v>
      </c>
      <c r="S96" s="20"/>
      <c r="T96" s="20"/>
      <c r="U96" s="41">
        <v>31494089</v>
      </c>
      <c r="V96" s="41">
        <v>17432322</v>
      </c>
      <c r="W96" s="41">
        <v>9309984</v>
      </c>
      <c r="X96" s="41">
        <v>5421622</v>
      </c>
      <c r="Y96" s="41">
        <v>5688508</v>
      </c>
      <c r="Z96" s="41">
        <v>3679837</v>
      </c>
      <c r="AA96" s="20"/>
      <c r="AB96" s="20"/>
      <c r="AC96" s="41">
        <v>681047003</v>
      </c>
      <c r="AD96" s="41">
        <v>189972665</v>
      </c>
      <c r="AE96" s="41">
        <v>97440796</v>
      </c>
      <c r="AF96" s="41">
        <v>57972591</v>
      </c>
      <c r="AG96" s="41">
        <v>62070601</v>
      </c>
      <c r="AH96" s="43">
        <v>41922170</v>
      </c>
      <c r="AI96" s="21"/>
    </row>
    <row r="97" spans="2:35" x14ac:dyDescent="0.35">
      <c r="B97" s="30"/>
      <c r="C97" s="23"/>
      <c r="D97" s="42" t="s">
        <v>30</v>
      </c>
      <c r="E97" s="41">
        <v>379233</v>
      </c>
      <c r="F97" s="41">
        <v>236906</v>
      </c>
      <c r="G97" s="41">
        <v>152909</v>
      </c>
      <c r="H97" s="41">
        <v>145318</v>
      </c>
      <c r="I97" s="41">
        <v>128836</v>
      </c>
      <c r="J97" s="41">
        <v>69478</v>
      </c>
      <c r="K97" s="20"/>
      <c r="L97" s="20"/>
      <c r="M97" s="41">
        <v>2841995</v>
      </c>
      <c r="N97" s="41">
        <v>1401475</v>
      </c>
      <c r="O97" s="41">
        <v>823740</v>
      </c>
      <c r="P97" s="41">
        <v>543712</v>
      </c>
      <c r="Q97" s="41">
        <v>424859</v>
      </c>
      <c r="R97" s="41">
        <v>247600</v>
      </c>
      <c r="S97" s="20"/>
      <c r="T97" s="20"/>
      <c r="U97" s="41">
        <v>26369161</v>
      </c>
      <c r="V97" s="41">
        <v>16832749</v>
      </c>
      <c r="W97" s="41">
        <v>9335190</v>
      </c>
      <c r="X97" s="41">
        <v>5439692</v>
      </c>
      <c r="Y97" s="41">
        <v>5746041</v>
      </c>
      <c r="Z97" s="41">
        <v>3638480</v>
      </c>
      <c r="AA97" s="20"/>
      <c r="AB97" s="20"/>
      <c r="AC97" s="41">
        <v>269307488</v>
      </c>
      <c r="AD97" s="41">
        <v>187358968</v>
      </c>
      <c r="AE97" s="41">
        <v>97015947</v>
      </c>
      <c r="AF97" s="41">
        <v>57593036</v>
      </c>
      <c r="AG97" s="41">
        <v>62463428</v>
      </c>
      <c r="AH97" s="43">
        <v>40850492</v>
      </c>
      <c r="AI97" s="21"/>
    </row>
    <row r="98" spans="2:35" x14ac:dyDescent="0.35">
      <c r="B98" s="30"/>
      <c r="C98" s="23"/>
      <c r="D98" s="42" t="s">
        <v>31</v>
      </c>
      <c r="E98" s="41">
        <v>376750</v>
      </c>
      <c r="F98" s="41">
        <v>234958</v>
      </c>
      <c r="G98" s="41">
        <v>159753</v>
      </c>
      <c r="H98" s="41">
        <v>173696</v>
      </c>
      <c r="I98" s="41">
        <v>126733</v>
      </c>
      <c r="J98" s="41">
        <v>68071</v>
      </c>
      <c r="K98" s="20"/>
      <c r="L98" s="20"/>
      <c r="M98" s="41">
        <v>2778336</v>
      </c>
      <c r="N98" s="41">
        <v>1443071</v>
      </c>
      <c r="O98" s="41">
        <v>756149</v>
      </c>
      <c r="P98" s="41">
        <v>486663</v>
      </c>
      <c r="Q98" s="41">
        <v>448391</v>
      </c>
      <c r="R98" s="41">
        <v>252395</v>
      </c>
      <c r="S98" s="20"/>
      <c r="T98" s="20"/>
      <c r="U98" s="41">
        <v>32970540</v>
      </c>
      <c r="V98" s="41">
        <v>17405374</v>
      </c>
      <c r="W98" s="41">
        <v>8980428</v>
      </c>
      <c r="X98" s="41">
        <v>5155801</v>
      </c>
      <c r="Y98" s="41">
        <v>5700418</v>
      </c>
      <c r="Z98" s="41">
        <v>3737284</v>
      </c>
      <c r="AA98" s="20"/>
      <c r="AB98" s="20"/>
      <c r="AC98" s="41">
        <v>323559201</v>
      </c>
      <c r="AD98" s="41">
        <v>184847503</v>
      </c>
      <c r="AE98" s="41">
        <v>96728776</v>
      </c>
      <c r="AF98" s="41">
        <v>58092530</v>
      </c>
      <c r="AG98" s="41">
        <v>62117269</v>
      </c>
      <c r="AH98" s="43">
        <v>42083990</v>
      </c>
      <c r="AI98" s="21"/>
    </row>
    <row r="99" spans="2:35" x14ac:dyDescent="0.35">
      <c r="B99" s="30"/>
      <c r="C99" s="23"/>
      <c r="D99" s="42" t="s">
        <v>32</v>
      </c>
      <c r="E99" s="41">
        <v>382833</v>
      </c>
      <c r="F99" s="41">
        <v>250284</v>
      </c>
      <c r="G99" s="41">
        <v>199035</v>
      </c>
      <c r="H99" s="41">
        <v>138817</v>
      </c>
      <c r="I99" s="41">
        <v>134521</v>
      </c>
      <c r="J99" s="41">
        <v>71011</v>
      </c>
      <c r="K99" s="20"/>
      <c r="L99" s="20"/>
      <c r="M99" s="41">
        <v>2815649</v>
      </c>
      <c r="N99" s="41">
        <v>1482249</v>
      </c>
      <c r="O99" s="41">
        <v>846113</v>
      </c>
      <c r="P99" s="41">
        <v>501193</v>
      </c>
      <c r="Q99" s="41">
        <v>444305</v>
      </c>
      <c r="R99" s="41">
        <v>282734</v>
      </c>
      <c r="S99" s="20"/>
      <c r="T99" s="20"/>
      <c r="U99" s="41">
        <v>26164459</v>
      </c>
      <c r="V99" s="41">
        <v>17279048</v>
      </c>
      <c r="W99" s="41">
        <v>8985225</v>
      </c>
      <c r="X99" s="41">
        <v>5336764</v>
      </c>
      <c r="Y99" s="41">
        <v>5538097</v>
      </c>
      <c r="Z99" s="41">
        <v>3634389</v>
      </c>
      <c r="AA99" s="20"/>
      <c r="AB99" s="20"/>
      <c r="AC99" s="41">
        <v>513517260</v>
      </c>
      <c r="AD99" s="41">
        <v>186098084</v>
      </c>
      <c r="AE99" s="41">
        <v>98163489</v>
      </c>
      <c r="AF99" s="41">
        <v>57056025</v>
      </c>
      <c r="AG99" s="41">
        <v>62448238</v>
      </c>
      <c r="AH99" s="43">
        <v>41058179</v>
      </c>
      <c r="AI99" s="21"/>
    </row>
    <row r="100" spans="2:35" x14ac:dyDescent="0.35">
      <c r="B100" s="30"/>
      <c r="C100" s="23"/>
      <c r="D100" s="42" t="s">
        <v>33</v>
      </c>
      <c r="E100" s="41">
        <v>380596</v>
      </c>
      <c r="F100" s="41">
        <v>231828</v>
      </c>
      <c r="G100" s="41">
        <v>179319</v>
      </c>
      <c r="H100" s="41">
        <v>142373</v>
      </c>
      <c r="I100" s="41">
        <v>129224</v>
      </c>
      <c r="J100" s="41">
        <v>71742</v>
      </c>
      <c r="K100" s="20"/>
      <c r="L100" s="20"/>
      <c r="M100" s="41">
        <v>2835539</v>
      </c>
      <c r="N100" s="41">
        <v>1385251</v>
      </c>
      <c r="O100" s="41">
        <v>899040</v>
      </c>
      <c r="P100" s="41">
        <v>583126</v>
      </c>
      <c r="Q100" s="41">
        <v>424143</v>
      </c>
      <c r="R100" s="41">
        <v>236709</v>
      </c>
      <c r="S100" s="20"/>
      <c r="T100" s="20"/>
      <c r="U100" s="41">
        <v>32143225</v>
      </c>
      <c r="V100" s="41">
        <v>17484717</v>
      </c>
      <c r="W100" s="41">
        <v>9381239</v>
      </c>
      <c r="X100" s="41">
        <v>5418353</v>
      </c>
      <c r="Y100" s="41">
        <v>5774281</v>
      </c>
      <c r="Z100" s="41">
        <v>3657838</v>
      </c>
      <c r="AA100" s="20"/>
      <c r="AB100" s="20"/>
      <c r="AC100" s="41">
        <v>268036719</v>
      </c>
      <c r="AD100" s="41">
        <v>186326182</v>
      </c>
      <c r="AE100" s="41">
        <v>96361184</v>
      </c>
      <c r="AF100" s="41">
        <v>57641968</v>
      </c>
      <c r="AG100" s="41">
        <v>62743105</v>
      </c>
      <c r="AH100" s="43">
        <v>41947259</v>
      </c>
      <c r="AI100" s="21"/>
    </row>
    <row r="101" spans="2:35" x14ac:dyDescent="0.35">
      <c r="B101" s="30"/>
      <c r="C101" s="23"/>
      <c r="D101" s="42" t="s">
        <v>34</v>
      </c>
      <c r="E101" s="41">
        <v>407833</v>
      </c>
      <c r="F101" s="41">
        <v>230509</v>
      </c>
      <c r="G101" s="41">
        <v>191293</v>
      </c>
      <c r="H101" s="41">
        <v>186742</v>
      </c>
      <c r="I101" s="41">
        <v>115058</v>
      </c>
      <c r="J101" s="41">
        <v>74413</v>
      </c>
      <c r="K101" s="20"/>
      <c r="L101" s="20"/>
      <c r="M101" s="41">
        <v>2724137</v>
      </c>
      <c r="N101" s="41">
        <v>1412417</v>
      </c>
      <c r="O101" s="41">
        <v>947414</v>
      </c>
      <c r="P101" s="41">
        <v>614022</v>
      </c>
      <c r="Q101" s="41">
        <v>439297</v>
      </c>
      <c r="R101" s="41">
        <v>243114</v>
      </c>
      <c r="S101" s="20"/>
      <c r="T101" s="20"/>
      <c r="U101" s="41">
        <v>26611990</v>
      </c>
      <c r="V101" s="41">
        <v>16745754</v>
      </c>
      <c r="W101" s="41">
        <v>9314685</v>
      </c>
      <c r="X101" s="41">
        <v>5272407</v>
      </c>
      <c r="Y101" s="41">
        <v>5538973</v>
      </c>
      <c r="Z101" s="41">
        <v>3774720</v>
      </c>
      <c r="AA101" s="20"/>
      <c r="AB101" s="20"/>
      <c r="AC101" s="41">
        <v>640613118</v>
      </c>
      <c r="AD101" s="41">
        <v>187494989</v>
      </c>
      <c r="AE101" s="41">
        <v>96614056</v>
      </c>
      <c r="AF101" s="41">
        <v>56568256</v>
      </c>
      <c r="AG101" s="41">
        <v>61847969</v>
      </c>
      <c r="AH101" s="43">
        <v>42350413</v>
      </c>
      <c r="AI101" s="21"/>
    </row>
    <row r="102" spans="2:35" x14ac:dyDescent="0.35">
      <c r="B102" s="30"/>
      <c r="C102" s="23"/>
      <c r="D102" s="42" t="s">
        <v>35</v>
      </c>
      <c r="E102" s="41">
        <v>407370</v>
      </c>
      <c r="F102" s="41">
        <v>226711</v>
      </c>
      <c r="G102" s="41">
        <v>180481</v>
      </c>
      <c r="H102" s="41">
        <v>142723</v>
      </c>
      <c r="I102" s="41">
        <v>129907</v>
      </c>
      <c r="J102" s="41">
        <v>71614</v>
      </c>
      <c r="K102" s="20"/>
      <c r="L102" s="20"/>
      <c r="M102" s="41">
        <v>2799888</v>
      </c>
      <c r="N102" s="41">
        <v>1447140</v>
      </c>
      <c r="O102" s="41">
        <v>778054</v>
      </c>
      <c r="P102" s="41">
        <v>489930</v>
      </c>
      <c r="Q102" s="41">
        <v>494061</v>
      </c>
      <c r="R102" s="41">
        <v>234986</v>
      </c>
      <c r="S102" s="20"/>
      <c r="T102" s="20"/>
      <c r="U102" s="41">
        <v>34472278</v>
      </c>
      <c r="V102" s="41">
        <v>17504304</v>
      </c>
      <c r="W102" s="41">
        <v>9832285</v>
      </c>
      <c r="X102" s="41">
        <v>5535466</v>
      </c>
      <c r="Y102" s="41">
        <v>5569050</v>
      </c>
      <c r="Z102" s="41">
        <v>3734689</v>
      </c>
      <c r="AA102" s="20"/>
      <c r="AB102" s="20"/>
      <c r="AC102" s="41">
        <v>612757519</v>
      </c>
      <c r="AD102" s="41">
        <v>186422703</v>
      </c>
      <c r="AE102" s="41">
        <v>96141133</v>
      </c>
      <c r="AF102" s="41">
        <v>57992040</v>
      </c>
      <c r="AG102" s="41">
        <v>62526770</v>
      </c>
      <c r="AH102" s="43">
        <v>41271124</v>
      </c>
      <c r="AI102" s="21"/>
    </row>
    <row r="103" spans="2:35" x14ac:dyDescent="0.35">
      <c r="B103" s="30"/>
      <c r="C103" s="23"/>
      <c r="D103" s="42" t="s">
        <v>36</v>
      </c>
      <c r="E103" s="41">
        <v>382979</v>
      </c>
      <c r="F103" s="41">
        <v>265112</v>
      </c>
      <c r="G103" s="41">
        <v>156979</v>
      </c>
      <c r="H103" s="41">
        <v>158563</v>
      </c>
      <c r="I103" s="41">
        <v>129483</v>
      </c>
      <c r="J103" s="41">
        <v>74479</v>
      </c>
      <c r="K103" s="20"/>
      <c r="L103" s="20"/>
      <c r="M103" s="41">
        <v>2706646</v>
      </c>
      <c r="N103" s="41">
        <v>1374356</v>
      </c>
      <c r="O103" s="41">
        <v>904439</v>
      </c>
      <c r="P103" s="41">
        <v>534641</v>
      </c>
      <c r="Q103" s="41">
        <v>429098</v>
      </c>
      <c r="R103" s="41">
        <v>259969</v>
      </c>
      <c r="S103" s="20"/>
      <c r="T103" s="20"/>
      <c r="U103" s="41">
        <v>34209030</v>
      </c>
      <c r="V103" s="41">
        <v>17960249</v>
      </c>
      <c r="W103" s="41">
        <v>8952365</v>
      </c>
      <c r="X103" s="41">
        <v>5353277</v>
      </c>
      <c r="Y103" s="41">
        <v>5676851</v>
      </c>
      <c r="Z103" s="41">
        <v>3783451</v>
      </c>
      <c r="AA103" s="20"/>
      <c r="AB103" s="20"/>
      <c r="AC103" s="41">
        <v>629644463</v>
      </c>
      <c r="AD103" s="41">
        <v>188675421</v>
      </c>
      <c r="AE103" s="41">
        <v>95101630</v>
      </c>
      <c r="AF103" s="41">
        <v>58014322</v>
      </c>
      <c r="AG103" s="41">
        <v>61765818</v>
      </c>
      <c r="AH103" s="43">
        <v>41134428</v>
      </c>
      <c r="AI103" s="21"/>
    </row>
    <row r="104" spans="2:35" x14ac:dyDescent="0.35">
      <c r="B104" s="30"/>
      <c r="C104" s="23"/>
      <c r="D104" s="42" t="s">
        <v>37</v>
      </c>
      <c r="E104" s="41">
        <v>370069</v>
      </c>
      <c r="F104" s="41">
        <v>229736</v>
      </c>
      <c r="G104" s="41">
        <v>184267</v>
      </c>
      <c r="H104" s="41">
        <v>151949</v>
      </c>
      <c r="I104" s="41">
        <v>129392</v>
      </c>
      <c r="J104" s="41">
        <v>72714</v>
      </c>
      <c r="K104" s="20"/>
      <c r="L104" s="20"/>
      <c r="M104" s="41">
        <v>2792198</v>
      </c>
      <c r="N104" s="41">
        <v>1384434</v>
      </c>
      <c r="O104" s="41">
        <v>793399</v>
      </c>
      <c r="P104" s="41">
        <v>536788</v>
      </c>
      <c r="Q104" s="41">
        <v>428930</v>
      </c>
      <c r="R104" s="41">
        <v>249644</v>
      </c>
      <c r="S104" s="20"/>
      <c r="T104" s="20"/>
      <c r="U104" s="41">
        <v>34869995</v>
      </c>
      <c r="V104" s="41">
        <v>16805716</v>
      </c>
      <c r="W104" s="41">
        <v>9386073</v>
      </c>
      <c r="X104" s="41">
        <v>5530901</v>
      </c>
      <c r="Y104" s="41">
        <v>5828795</v>
      </c>
      <c r="Z104" s="41">
        <v>3706366</v>
      </c>
      <c r="AA104" s="20"/>
      <c r="AB104" s="20"/>
      <c r="AC104" s="41">
        <v>303460579</v>
      </c>
      <c r="AD104" s="41">
        <v>187626846</v>
      </c>
      <c r="AE104" s="41">
        <v>95362526</v>
      </c>
      <c r="AF104" s="41">
        <v>57442975</v>
      </c>
      <c r="AG104" s="41">
        <v>63318606</v>
      </c>
      <c r="AH104" s="43">
        <v>40646832</v>
      </c>
      <c r="AI104" s="21"/>
    </row>
    <row r="105" spans="2:35" x14ac:dyDescent="0.35">
      <c r="B105" s="30"/>
      <c r="C105" s="23"/>
      <c r="D105" s="42" t="s">
        <v>38</v>
      </c>
      <c r="E105" s="41">
        <v>379007</v>
      </c>
      <c r="F105" s="41">
        <v>229896</v>
      </c>
      <c r="G105" s="41">
        <v>162676</v>
      </c>
      <c r="H105" s="41">
        <v>149277</v>
      </c>
      <c r="I105" s="41">
        <v>129267</v>
      </c>
      <c r="J105" s="41">
        <v>73998</v>
      </c>
      <c r="K105" s="20"/>
      <c r="L105" s="20"/>
      <c r="M105" s="41">
        <v>2931894</v>
      </c>
      <c r="N105" s="41">
        <v>1408404</v>
      </c>
      <c r="O105" s="41">
        <v>764238</v>
      </c>
      <c r="P105" s="41">
        <v>520565</v>
      </c>
      <c r="Q105" s="41">
        <v>416544</v>
      </c>
      <c r="R105" s="41">
        <v>264279</v>
      </c>
      <c r="S105" s="20"/>
      <c r="T105" s="20"/>
      <c r="U105" s="41">
        <v>33968043</v>
      </c>
      <c r="V105" s="41">
        <v>17270339</v>
      </c>
      <c r="W105" s="41">
        <v>9220226</v>
      </c>
      <c r="X105" s="41">
        <v>5494006</v>
      </c>
      <c r="Y105" s="41">
        <v>5539021</v>
      </c>
      <c r="Z105" s="41">
        <v>3774567</v>
      </c>
      <c r="AA105" s="20"/>
      <c r="AB105" s="20"/>
      <c r="AC105" s="41">
        <v>342115780</v>
      </c>
      <c r="AD105" s="41">
        <v>186896907</v>
      </c>
      <c r="AE105" s="41">
        <v>96597830</v>
      </c>
      <c r="AF105" s="41">
        <v>57337277</v>
      </c>
      <c r="AG105" s="41">
        <v>62719545</v>
      </c>
      <c r="AH105" s="43">
        <v>41152032</v>
      </c>
      <c r="AI105" s="21"/>
    </row>
    <row r="106" spans="2:35" x14ac:dyDescent="0.35">
      <c r="B106" s="30"/>
      <c r="C106" s="23"/>
      <c r="D106" s="42" t="s">
        <v>39</v>
      </c>
      <c r="E106" s="41">
        <v>381128</v>
      </c>
      <c r="F106" s="41">
        <v>265910</v>
      </c>
      <c r="G106" s="41">
        <v>191222</v>
      </c>
      <c r="H106" s="41">
        <v>140725</v>
      </c>
      <c r="I106" s="41">
        <v>127339</v>
      </c>
      <c r="J106" s="41">
        <v>72148</v>
      </c>
      <c r="K106" s="20"/>
      <c r="L106" s="20"/>
      <c r="M106" s="41">
        <v>2837569</v>
      </c>
      <c r="N106" s="41">
        <v>1377044</v>
      </c>
      <c r="O106" s="41">
        <v>777856</v>
      </c>
      <c r="P106" s="41">
        <v>481877</v>
      </c>
      <c r="Q106" s="41">
        <v>439750</v>
      </c>
      <c r="R106" s="41">
        <v>285788</v>
      </c>
      <c r="S106" s="20"/>
      <c r="T106" s="20"/>
      <c r="U106" s="41">
        <v>26113969</v>
      </c>
      <c r="V106" s="41">
        <v>17112933</v>
      </c>
      <c r="W106" s="41">
        <v>9064335</v>
      </c>
      <c r="X106" s="41">
        <v>5487703</v>
      </c>
      <c r="Y106" s="41">
        <v>5526557</v>
      </c>
      <c r="Z106" s="41">
        <v>3634878</v>
      </c>
      <c r="AA106" s="20"/>
      <c r="AB106" s="20"/>
      <c r="AC106" s="41">
        <v>661308964</v>
      </c>
      <c r="AD106" s="41">
        <v>187676161</v>
      </c>
      <c r="AE106" s="41">
        <v>98072107</v>
      </c>
      <c r="AF106" s="41">
        <v>58184214</v>
      </c>
      <c r="AG106" s="41">
        <v>62362522</v>
      </c>
      <c r="AH106" s="43">
        <v>41447451</v>
      </c>
      <c r="AI106" s="21"/>
    </row>
    <row r="107" spans="2:35" ht="15" thickBot="1" x14ac:dyDescent="0.4">
      <c r="B107" s="30"/>
      <c r="C107" s="24"/>
      <c r="D107" s="37" t="s">
        <v>44</v>
      </c>
      <c r="E107" s="25" cm="1">
        <f t="array" ref="E107">ROUND(AVERAGE(IF((ISNUMBER(E77:E106))*(E77:E106&lt;LARGE(E77:E106,2))*(E77:E106&gt;SMALL(E77:E106,2)),E77:E106)),0)</f>
        <v>392609</v>
      </c>
      <c r="F107" s="25" cm="1">
        <f t="array" ref="F107">ROUND(AVERAGE(IF((ISNUMBER(F77:F106))*(F77:F106&lt;LARGE(F77:F106,2))*(F77:F106&gt;SMALL(F77:F106,2)),F77:F106)),0)</f>
        <v>239216</v>
      </c>
      <c r="G107" s="25" cm="1">
        <f t="array" ref="G107">ROUND(AVERAGE(IF((ISNUMBER(G77:G106))*(G77:G106&lt;LARGE(G77:G106,2))*(G77:G106&gt;SMALL(G77:G106,2)),G77:G106)),0)</f>
        <v>178788</v>
      </c>
      <c r="H107" s="25" cm="1">
        <f t="array" ref="H107">ROUND(AVERAGE(IF((ISNUMBER(H77:H106))*(H77:H106&lt;LARGE(H77:H106,2))*(H77:H106&gt;SMALL(H77:H106,2)),H77:H106)),0)</f>
        <v>151045</v>
      </c>
      <c r="I107" s="25" cm="1">
        <f t="array" ref="I107">ROUND(AVERAGE(IF((ISNUMBER(I77:I106))*(I77:I106&lt;LARGE(I77:I106,2))*(I77:I106&gt;SMALL(I77:I106,2)),I77:I106)),0)</f>
        <v>128509</v>
      </c>
      <c r="J107" s="25" cm="1">
        <f t="array" ref="J107">ROUND(AVERAGE(IF((ISNUMBER(J77:J106))*(J77:J106&lt;LARGE(J77:J106,2))*(J77:J106&gt;SMALL(J77:J106,2)),J77:J106)),0)</f>
        <v>72516</v>
      </c>
      <c r="K107" s="25"/>
      <c r="L107" s="25"/>
      <c r="M107" s="25" cm="1">
        <f t="array" ref="M107">ROUND(AVERAGE(IF((ISNUMBER(M77:M106))*(M77:M106&lt;LARGE(M77:M106,2))*(M77:M106&gt;SMALL(M77:M106,2)),M77:M106)),0)</f>
        <v>2805986</v>
      </c>
      <c r="N107" s="25" cm="1">
        <f t="array" ref="N107">ROUND(AVERAGE(IF((ISNUMBER(N77:N106))*(N77:N106&lt;LARGE(N77:N106,2))*(N77:N106&gt;SMALL(N77:N106,2)),N77:N106)),0)</f>
        <v>1416001</v>
      </c>
      <c r="O107" s="25" cm="1">
        <f t="array" ref="O107">ROUND(AVERAGE(IF((ISNUMBER(O77:O106))*(O77:O106&lt;LARGE(O77:O106,2))*(O77:O106&gt;SMALL(O77:O106,2)),O77:O106)),0)</f>
        <v>821218</v>
      </c>
      <c r="P107" s="25" cm="1">
        <f t="array" ref="P107">ROUND(AVERAGE(IF((ISNUMBER(P77:P106))*(P77:P106&lt;LARGE(P77:P106,2))*(P77:P106&gt;SMALL(P77:P106,2)),P77:P106)),0)</f>
        <v>509350</v>
      </c>
      <c r="Q107" s="25" cm="1">
        <f t="array" ref="Q107">ROUND(AVERAGE(IF((ISNUMBER(Q77:Q106))*(Q77:Q106&lt;LARGE(Q77:Q106,2))*(Q77:Q106&gt;SMALL(Q77:Q106,2)),Q77:Q106)),0)</f>
        <v>434907</v>
      </c>
      <c r="R107" s="25" cm="1">
        <f t="array" ref="R107">ROUND(AVERAGE(IF((ISNUMBER(R77:R106))*(R77:R106&lt;LARGE(R77:R106,2))*(R77:R106&gt;SMALL(R77:R106,2)),R77:R106)),0)</f>
        <v>255239</v>
      </c>
      <c r="S107" s="25"/>
      <c r="T107" s="25"/>
      <c r="U107" s="25" cm="1">
        <f t="array" ref="U107">ROUND(AVERAGE(IF((ISNUMBER(U77:U106))*(U77:U106&lt;LARGE(U77:U106,2))*(U77:U106&gt;SMALL(U77:U106,2)),U77:U106)),0)</f>
        <v>31581026</v>
      </c>
      <c r="V107" s="25" cm="1">
        <f t="array" ref="V107">ROUND(AVERAGE(IF((ISNUMBER(V77:V106))*(V77:V106&lt;LARGE(V77:V106,2))*(V77:V106&gt;SMALL(V77:V106,2)),V77:V106)),0)</f>
        <v>17171743</v>
      </c>
      <c r="W107" s="25" cm="1">
        <f t="array" ref="W107">ROUND(AVERAGE(IF((ISNUMBER(W77:W106))*(W77:W106&lt;LARGE(W77:W106,2))*(W77:W106&gt;SMALL(W77:W106,2)),W77:W106)),0)</f>
        <v>9178218</v>
      </c>
      <c r="X107" s="25" cm="1">
        <f t="array" ref="X107">ROUND(AVERAGE(IF((ISNUMBER(X77:X106))*(X77:X106&lt;LARGE(X77:X106,2))*(X77:X106&gt;SMALL(X77:X106,2)),X77:X106)),0)</f>
        <v>5368160</v>
      </c>
      <c r="Y107" s="25" cm="1">
        <f t="array" ref="Y107">ROUND(AVERAGE(IF((ISNUMBER(Y77:Y106))*(Y77:Y106&lt;LARGE(Y77:Y106,2))*(Y77:Y106&gt;SMALL(Y77:Y106,2)),Y77:Y106)),0)</f>
        <v>5655330</v>
      </c>
      <c r="Z107" s="25" cm="1">
        <f t="array" ref="Z107">ROUND(AVERAGE(IF((ISNUMBER(Z77:Z106))*(Z77:Z106&lt;LARGE(Z77:Z106,2))*(Z77:Z106&gt;SMALL(Z77:Z106,2)),Z77:Z106)),0)</f>
        <v>3693201</v>
      </c>
      <c r="AA107" s="25"/>
      <c r="AB107" s="25"/>
      <c r="AC107" s="25" cm="1">
        <f t="array" ref="AC107">ROUND(AVERAGE(IF((ISNUMBER(AC77:AC106))*(AC77:AC106&lt;LARGE(AC77:AC106,2))*(AC77:AC106&gt;SMALL(AC77:AC106,2)),AC77:AC106)),0)</f>
        <v>536677694</v>
      </c>
      <c r="AD107" s="25" cm="1">
        <f t="array" ref="AD107">ROUND(AVERAGE(IF((ISNUMBER(AD77:AD106))*(AD77:AD106&lt;LARGE(AD77:AD106,2))*(AD77:AD106&gt;SMALL(AD77:AD106,2)),AD77:AD106)),0)</f>
        <v>187776148</v>
      </c>
      <c r="AE107" s="25" cm="1">
        <f t="array" ref="AE107">ROUND(AVERAGE(IF((ISNUMBER(AE77:AE106))*(AE77:AE106&lt;LARGE(AE77:AE106,2))*(AE77:AE106&gt;SMALL(AE77:AE106,2)),AE77:AE106)),0)</f>
        <v>96728418</v>
      </c>
      <c r="AF107" s="25" cm="1">
        <f t="array" ref="AF107">ROUND(AVERAGE(IF((ISNUMBER(AF77:AF106))*(AF77:AF106&lt;LARGE(AF77:AF106,2))*(AF77:AF106&gt;SMALL(AF77:AF106,2)),AF77:AF106)),0)</f>
        <v>57473919</v>
      </c>
      <c r="AG107" s="25" cm="1">
        <f t="array" ref="AG107">ROUND(AVERAGE(IF((ISNUMBER(AG77:AG106))*(AG77:AG106&lt;LARGE(AG77:AG106,2))*(AG77:AG106&gt;SMALL(AG77:AG106,2)),AG77:AG106)),0)</f>
        <v>62020924</v>
      </c>
      <c r="AH107" s="26" cm="1">
        <f t="array" ref="AH107">ROUND(AVERAGE(IF((ISNUMBER(AH77:AH106))*(AH77:AH106&lt;LARGE(AH77:AH106,2))*(AH77:AH106&gt;SMALL(AH77:AH106,2)),AH77:AH106)),0)</f>
        <v>41499532</v>
      </c>
      <c r="AI107" s="21"/>
    </row>
    <row r="108" spans="2:35" ht="15" thickBot="1" x14ac:dyDescent="0.4">
      <c r="B108" s="31"/>
      <c r="C108" s="28"/>
      <c r="D108" s="3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9"/>
    </row>
    <row r="109" spans="2:35" ht="15" thickBot="1" x14ac:dyDescent="0.4">
      <c r="B109" s="32"/>
      <c r="D109" s="1"/>
    </row>
    <row r="110" spans="2:35" ht="37" x14ac:dyDescent="0.85">
      <c r="B110" s="33" t="s">
        <v>43</v>
      </c>
      <c r="C110" s="15"/>
      <c r="D110" s="3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7"/>
    </row>
    <row r="111" spans="2:35" ht="15" thickBot="1" x14ac:dyDescent="0.4">
      <c r="B111" s="18"/>
      <c r="C111" s="19"/>
      <c r="D111" s="4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</row>
    <row r="112" spans="2:35" x14ac:dyDescent="0.35">
      <c r="B112" s="22"/>
      <c r="C112" s="44" t="s">
        <v>0</v>
      </c>
      <c r="D112" s="35"/>
      <c r="E112" s="35" t="s">
        <v>1</v>
      </c>
      <c r="F112" s="35" t="s">
        <v>2</v>
      </c>
      <c r="G112" s="35" t="s">
        <v>3</v>
      </c>
      <c r="H112" s="35" t="s">
        <v>4</v>
      </c>
      <c r="I112" s="35" t="s">
        <v>5</v>
      </c>
      <c r="J112" s="35" t="s">
        <v>6</v>
      </c>
      <c r="K112" s="46" t="s">
        <v>7</v>
      </c>
      <c r="L112" s="46"/>
      <c r="M112" s="35" t="s">
        <v>1</v>
      </c>
      <c r="N112" s="35" t="s">
        <v>2</v>
      </c>
      <c r="O112" s="35" t="s">
        <v>3</v>
      </c>
      <c r="P112" s="35" t="s">
        <v>4</v>
      </c>
      <c r="Q112" s="35" t="s">
        <v>5</v>
      </c>
      <c r="R112" s="35" t="s">
        <v>6</v>
      </c>
      <c r="S112" s="46" t="s">
        <v>8</v>
      </c>
      <c r="T112" s="46"/>
      <c r="U112" s="35" t="s">
        <v>1</v>
      </c>
      <c r="V112" s="35" t="s">
        <v>2</v>
      </c>
      <c r="W112" s="35" t="s">
        <v>3</v>
      </c>
      <c r="X112" s="35" t="s">
        <v>4</v>
      </c>
      <c r="Y112" s="35" t="s">
        <v>5</v>
      </c>
      <c r="Z112" s="35" t="s">
        <v>6</v>
      </c>
      <c r="AA112" s="46" t="s">
        <v>9</v>
      </c>
      <c r="AB112" s="46"/>
      <c r="AC112" s="35" t="s">
        <v>1</v>
      </c>
      <c r="AD112" s="35" t="s">
        <v>2</v>
      </c>
      <c r="AE112" s="35" t="s">
        <v>3</v>
      </c>
      <c r="AF112" s="35" t="s">
        <v>4</v>
      </c>
      <c r="AG112" s="35" t="s">
        <v>5</v>
      </c>
      <c r="AH112" s="36" t="s">
        <v>6</v>
      </c>
      <c r="AI112" s="21"/>
    </row>
    <row r="113" spans="2:35" x14ac:dyDescent="0.35">
      <c r="B113" s="22"/>
      <c r="C113" s="23"/>
      <c r="D113" s="42" t="s">
        <v>10</v>
      </c>
      <c r="E113" s="41">
        <v>114871</v>
      </c>
      <c r="F113" s="41">
        <v>97480</v>
      </c>
      <c r="G113" s="41">
        <v>68110</v>
      </c>
      <c r="H113" s="41">
        <v>49280</v>
      </c>
      <c r="I113" s="41">
        <v>33416</v>
      </c>
      <c r="J113" s="41">
        <v>14227</v>
      </c>
      <c r="K113" s="20"/>
      <c r="L113" s="20"/>
      <c r="M113" s="41">
        <v>693590</v>
      </c>
      <c r="N113" s="41">
        <v>375008</v>
      </c>
      <c r="O113" s="41">
        <v>164793</v>
      </c>
      <c r="P113" s="41">
        <v>126809</v>
      </c>
      <c r="Q113" s="41">
        <v>127394</v>
      </c>
      <c r="R113" s="41">
        <v>105770</v>
      </c>
      <c r="S113" s="20"/>
      <c r="T113" s="20"/>
      <c r="U113" s="41">
        <v>7061489</v>
      </c>
      <c r="V113" s="41">
        <v>3387742</v>
      </c>
      <c r="W113" s="41">
        <v>1871452</v>
      </c>
      <c r="X113" s="41">
        <v>1226679</v>
      </c>
      <c r="Y113" s="41">
        <v>1051115</v>
      </c>
      <c r="Z113" s="41">
        <v>543138</v>
      </c>
      <c r="AA113" s="20"/>
      <c r="AB113" s="20"/>
      <c r="AC113" s="41">
        <v>51103845</v>
      </c>
      <c r="AD113" s="41">
        <v>28768067</v>
      </c>
      <c r="AE113" s="41">
        <v>15537425</v>
      </c>
      <c r="AF113" s="41">
        <v>10644691</v>
      </c>
      <c r="AG113" s="41">
        <v>9555132</v>
      </c>
      <c r="AH113" s="43">
        <v>5251857</v>
      </c>
      <c r="AI113" s="21"/>
    </row>
    <row r="114" spans="2:35" x14ac:dyDescent="0.35">
      <c r="B114" s="22"/>
      <c r="C114" s="23"/>
      <c r="D114" s="42" t="s">
        <v>11</v>
      </c>
      <c r="E114" s="41">
        <v>157207</v>
      </c>
      <c r="F114" s="41">
        <v>85196</v>
      </c>
      <c r="G114" s="41">
        <v>65335</v>
      </c>
      <c r="H114" s="41">
        <v>47485</v>
      </c>
      <c r="I114" s="41">
        <v>33811</v>
      </c>
      <c r="J114" s="41">
        <v>14205</v>
      </c>
      <c r="K114" s="20"/>
      <c r="L114" s="20"/>
      <c r="M114" s="41">
        <v>770776</v>
      </c>
      <c r="N114" s="41">
        <v>346012</v>
      </c>
      <c r="O114" s="41">
        <v>189665</v>
      </c>
      <c r="P114" s="41">
        <v>133526</v>
      </c>
      <c r="Q114" s="41">
        <v>113673</v>
      </c>
      <c r="R114" s="41">
        <v>102539</v>
      </c>
      <c r="S114" s="20"/>
      <c r="T114" s="20"/>
      <c r="U114" s="41">
        <v>7595189</v>
      </c>
      <c r="V114" s="41">
        <v>3399649</v>
      </c>
      <c r="W114" s="41">
        <v>1911250</v>
      </c>
      <c r="X114" s="41">
        <v>1276194</v>
      </c>
      <c r="Y114" s="41">
        <v>986771</v>
      </c>
      <c r="Z114" s="41">
        <v>563064</v>
      </c>
      <c r="AA114" s="20"/>
      <c r="AB114" s="20"/>
      <c r="AC114" s="41">
        <v>51589706</v>
      </c>
      <c r="AD114" s="41">
        <v>28082739</v>
      </c>
      <c r="AE114" s="41">
        <v>15664973</v>
      </c>
      <c r="AF114" s="41">
        <v>10485288</v>
      </c>
      <c r="AG114" s="41">
        <v>9292688</v>
      </c>
      <c r="AH114" s="43">
        <v>5265265</v>
      </c>
      <c r="AI114" s="21"/>
    </row>
    <row r="115" spans="2:35" x14ac:dyDescent="0.35">
      <c r="B115" s="22"/>
      <c r="C115" s="23"/>
      <c r="D115" s="42" t="s">
        <v>12</v>
      </c>
      <c r="E115" s="41">
        <v>123092</v>
      </c>
      <c r="F115" s="41">
        <v>63076</v>
      </c>
      <c r="G115" s="41">
        <v>69990</v>
      </c>
      <c r="H115" s="41">
        <v>49085</v>
      </c>
      <c r="I115" s="41">
        <v>33828</v>
      </c>
      <c r="J115" s="41">
        <v>14367</v>
      </c>
      <c r="K115" s="20"/>
      <c r="L115" s="20"/>
      <c r="M115" s="41">
        <v>643427</v>
      </c>
      <c r="N115" s="41">
        <v>386586</v>
      </c>
      <c r="O115" s="41">
        <v>198343</v>
      </c>
      <c r="P115" s="41">
        <v>135662</v>
      </c>
      <c r="Q115" s="41">
        <v>121529</v>
      </c>
      <c r="R115" s="41">
        <v>95638</v>
      </c>
      <c r="S115" s="20"/>
      <c r="T115" s="20"/>
      <c r="U115" s="41">
        <v>6039418</v>
      </c>
      <c r="V115" s="41">
        <v>3374828</v>
      </c>
      <c r="W115" s="41">
        <v>1866869</v>
      </c>
      <c r="X115" s="41">
        <v>1243122</v>
      </c>
      <c r="Y115" s="41">
        <v>1055045</v>
      </c>
      <c r="Z115" s="41">
        <v>579842</v>
      </c>
      <c r="AA115" s="20"/>
      <c r="AB115" s="20"/>
      <c r="AC115" s="41">
        <v>51371791</v>
      </c>
      <c r="AD115" s="41">
        <v>28301567</v>
      </c>
      <c r="AE115" s="41">
        <v>15617768</v>
      </c>
      <c r="AF115" s="41">
        <v>10394289</v>
      </c>
      <c r="AG115" s="41">
        <v>9516682</v>
      </c>
      <c r="AH115" s="43">
        <v>5321186</v>
      </c>
      <c r="AI115" s="21"/>
    </row>
    <row r="116" spans="2:35" x14ac:dyDescent="0.35">
      <c r="B116" s="22"/>
      <c r="C116" s="23"/>
      <c r="D116" s="42" t="s">
        <v>13</v>
      </c>
      <c r="E116" s="41">
        <v>76600</v>
      </c>
      <c r="F116" s="41">
        <v>93249</v>
      </c>
      <c r="G116" s="41">
        <v>68291</v>
      </c>
      <c r="H116" s="41">
        <v>47069</v>
      </c>
      <c r="I116" s="41">
        <v>33657</v>
      </c>
      <c r="J116" s="41">
        <v>14156</v>
      </c>
      <c r="K116" s="20"/>
      <c r="L116" s="20"/>
      <c r="M116" s="41">
        <v>650384</v>
      </c>
      <c r="N116" s="41">
        <v>313163</v>
      </c>
      <c r="O116" s="41">
        <v>188710</v>
      </c>
      <c r="P116" s="41">
        <v>148148</v>
      </c>
      <c r="Q116" s="41">
        <v>114561</v>
      </c>
      <c r="R116" s="41">
        <v>105485</v>
      </c>
      <c r="S116" s="20"/>
      <c r="T116" s="20"/>
      <c r="U116" s="41">
        <v>6909391</v>
      </c>
      <c r="V116" s="41">
        <v>3522483</v>
      </c>
      <c r="W116" s="41">
        <v>1858491</v>
      </c>
      <c r="X116" s="41">
        <v>1301656</v>
      </c>
      <c r="Y116" s="41">
        <v>1053286</v>
      </c>
      <c r="Z116" s="41">
        <v>504465</v>
      </c>
      <c r="AA116" s="20"/>
      <c r="AB116" s="20"/>
      <c r="AC116" s="41">
        <v>51577429</v>
      </c>
      <c r="AD116" s="41">
        <v>27507141</v>
      </c>
      <c r="AE116" s="41">
        <v>15582904</v>
      </c>
      <c r="AF116" s="41">
        <v>11018323</v>
      </c>
      <c r="AG116" s="41">
        <v>9327674</v>
      </c>
      <c r="AH116" s="43">
        <v>5314792</v>
      </c>
      <c r="AI116" s="21"/>
    </row>
    <row r="117" spans="2:35" x14ac:dyDescent="0.35">
      <c r="B117" s="22"/>
      <c r="C117" s="23"/>
      <c r="D117" s="42" t="s">
        <v>14</v>
      </c>
      <c r="E117" s="41">
        <v>134083</v>
      </c>
      <c r="F117" s="41">
        <v>90479</v>
      </c>
      <c r="G117" s="41">
        <v>67412</v>
      </c>
      <c r="H117" s="41">
        <v>45033</v>
      </c>
      <c r="I117" s="41">
        <v>33605</v>
      </c>
      <c r="J117" s="41">
        <v>14212</v>
      </c>
      <c r="K117" s="20"/>
      <c r="L117" s="20"/>
      <c r="M117" s="41">
        <v>651749</v>
      </c>
      <c r="N117" s="41">
        <v>340621</v>
      </c>
      <c r="O117" s="41">
        <v>258948</v>
      </c>
      <c r="P117" s="41">
        <v>191655</v>
      </c>
      <c r="Q117" s="41">
        <v>113697</v>
      </c>
      <c r="R117" s="41">
        <v>101101</v>
      </c>
      <c r="S117" s="20"/>
      <c r="T117" s="20"/>
      <c r="U117" s="41">
        <v>6351556</v>
      </c>
      <c r="V117" s="41">
        <v>3286895</v>
      </c>
      <c r="W117" s="41">
        <v>1863476</v>
      </c>
      <c r="X117" s="41">
        <v>1222800</v>
      </c>
      <c r="Y117" s="41">
        <v>1016055</v>
      </c>
      <c r="Z117" s="41">
        <v>547055</v>
      </c>
      <c r="AA117" s="20"/>
      <c r="AB117" s="20"/>
      <c r="AC117" s="41">
        <v>51497922</v>
      </c>
      <c r="AD117" s="41">
        <v>28792506</v>
      </c>
      <c r="AE117" s="41">
        <v>15692917</v>
      </c>
      <c r="AF117" s="41">
        <v>10832604</v>
      </c>
      <c r="AG117" s="41">
        <v>9558818</v>
      </c>
      <c r="AH117" s="43">
        <v>5184146</v>
      </c>
      <c r="AI117" s="21"/>
    </row>
    <row r="118" spans="2:35" x14ac:dyDescent="0.35">
      <c r="B118" s="22"/>
      <c r="C118" s="23"/>
      <c r="D118" s="42" t="s">
        <v>15</v>
      </c>
      <c r="E118" s="41">
        <v>132673</v>
      </c>
      <c r="F118" s="41">
        <v>101179</v>
      </c>
      <c r="G118" s="41">
        <v>68476</v>
      </c>
      <c r="H118" s="41">
        <v>48844</v>
      </c>
      <c r="I118" s="41">
        <v>33607</v>
      </c>
      <c r="J118" s="41">
        <v>14043</v>
      </c>
      <c r="K118" s="20"/>
      <c r="L118" s="20"/>
      <c r="M118" s="41">
        <v>655083</v>
      </c>
      <c r="N118" s="41">
        <v>320155</v>
      </c>
      <c r="O118" s="41">
        <v>215993</v>
      </c>
      <c r="P118" s="41">
        <v>137254</v>
      </c>
      <c r="Q118" s="41">
        <v>139304</v>
      </c>
      <c r="R118" s="41">
        <v>105236</v>
      </c>
      <c r="S118" s="20"/>
      <c r="T118" s="20"/>
      <c r="U118" s="41">
        <v>6279973</v>
      </c>
      <c r="V118" s="41">
        <v>3324399</v>
      </c>
      <c r="W118" s="41">
        <v>1862695</v>
      </c>
      <c r="X118" s="41">
        <v>1227132</v>
      </c>
      <c r="Y118" s="41">
        <v>1042268</v>
      </c>
      <c r="Z118" s="41">
        <v>542576</v>
      </c>
      <c r="AA118" s="20"/>
      <c r="AB118" s="20"/>
      <c r="AC118" s="41">
        <v>51437361</v>
      </c>
      <c r="AD118" s="41">
        <v>28174859</v>
      </c>
      <c r="AE118" s="41">
        <v>15742187</v>
      </c>
      <c r="AF118" s="41">
        <v>10285588</v>
      </c>
      <c r="AG118" s="41">
        <v>9520160</v>
      </c>
      <c r="AH118" s="43">
        <v>5349580</v>
      </c>
      <c r="AI118" s="21"/>
    </row>
    <row r="119" spans="2:35" x14ac:dyDescent="0.35">
      <c r="B119" s="22"/>
      <c r="C119" s="23"/>
      <c r="D119" s="42" t="s">
        <v>16</v>
      </c>
      <c r="E119" s="41">
        <v>109026</v>
      </c>
      <c r="F119" s="41">
        <v>92934</v>
      </c>
      <c r="G119" s="41">
        <v>50969</v>
      </c>
      <c r="H119" s="41">
        <v>45944</v>
      </c>
      <c r="I119" s="41">
        <v>33748</v>
      </c>
      <c r="J119" s="41">
        <v>17876</v>
      </c>
      <c r="K119" s="20"/>
      <c r="L119" s="20"/>
      <c r="M119" s="41">
        <v>669309</v>
      </c>
      <c r="N119" s="41">
        <v>386168</v>
      </c>
      <c r="O119" s="41">
        <v>190401</v>
      </c>
      <c r="P119" s="41">
        <v>132690</v>
      </c>
      <c r="Q119" s="41">
        <v>117358</v>
      </c>
      <c r="R119" s="41">
        <v>95076</v>
      </c>
      <c r="S119" s="20"/>
      <c r="T119" s="20"/>
      <c r="U119" s="41">
        <v>6354636</v>
      </c>
      <c r="V119" s="41">
        <v>3343579</v>
      </c>
      <c r="W119" s="41">
        <v>1851473</v>
      </c>
      <c r="X119" s="41">
        <v>1254985</v>
      </c>
      <c r="Y119" s="41">
        <v>1043471</v>
      </c>
      <c r="Z119" s="41">
        <v>553798</v>
      </c>
      <c r="AA119" s="20"/>
      <c r="AB119" s="20"/>
      <c r="AC119" s="41">
        <v>51468939</v>
      </c>
      <c r="AD119" s="41">
        <v>28398129</v>
      </c>
      <c r="AE119" s="41">
        <v>15614067</v>
      </c>
      <c r="AF119" s="41">
        <v>10882655</v>
      </c>
      <c r="AG119" s="41">
        <v>9428445</v>
      </c>
      <c r="AH119" s="43">
        <v>5296832</v>
      </c>
      <c r="AI119" s="21"/>
    </row>
    <row r="120" spans="2:35" x14ac:dyDescent="0.35">
      <c r="B120" s="22"/>
      <c r="C120" s="23"/>
      <c r="D120" s="42" t="s">
        <v>17</v>
      </c>
      <c r="E120" s="41">
        <v>142894</v>
      </c>
      <c r="F120" s="41">
        <v>94563</v>
      </c>
      <c r="G120" s="41">
        <v>59026</v>
      </c>
      <c r="H120" s="41">
        <v>44054</v>
      </c>
      <c r="I120" s="41">
        <v>33687</v>
      </c>
      <c r="J120" s="41">
        <v>14615</v>
      </c>
      <c r="K120" s="20"/>
      <c r="L120" s="20"/>
      <c r="M120" s="41">
        <v>646774</v>
      </c>
      <c r="N120" s="41">
        <v>313453</v>
      </c>
      <c r="O120" s="41">
        <v>186549</v>
      </c>
      <c r="P120" s="41">
        <v>112593</v>
      </c>
      <c r="Q120" s="41">
        <v>135205</v>
      </c>
      <c r="R120" s="41">
        <v>104685</v>
      </c>
      <c r="S120" s="20"/>
      <c r="T120" s="20"/>
      <c r="U120" s="41">
        <v>6175550</v>
      </c>
      <c r="V120" s="41">
        <v>3379731</v>
      </c>
      <c r="W120" s="41">
        <v>1834737</v>
      </c>
      <c r="X120" s="41">
        <v>1294813</v>
      </c>
      <c r="Y120" s="41">
        <v>1071019</v>
      </c>
      <c r="Z120" s="41">
        <v>542733</v>
      </c>
      <c r="AA120" s="20"/>
      <c r="AB120" s="20"/>
      <c r="AC120" s="41">
        <v>51572895</v>
      </c>
      <c r="AD120" s="41">
        <v>27725832</v>
      </c>
      <c r="AE120" s="41">
        <v>15783880</v>
      </c>
      <c r="AF120" s="41">
        <v>10724157</v>
      </c>
      <c r="AG120" s="41">
        <v>9451564</v>
      </c>
      <c r="AH120" s="43">
        <v>5252723</v>
      </c>
      <c r="AI120" s="21"/>
    </row>
    <row r="121" spans="2:35" x14ac:dyDescent="0.35">
      <c r="B121" s="22"/>
      <c r="C121" s="23"/>
      <c r="D121" s="42" t="s">
        <v>18</v>
      </c>
      <c r="E121" s="41">
        <v>72583</v>
      </c>
      <c r="F121" s="41">
        <v>73255</v>
      </c>
      <c r="G121" s="41">
        <v>65539</v>
      </c>
      <c r="H121" s="41">
        <v>49462</v>
      </c>
      <c r="I121" s="41">
        <v>33822</v>
      </c>
      <c r="J121" s="41">
        <v>14453</v>
      </c>
      <c r="K121" s="20"/>
      <c r="L121" s="20"/>
      <c r="M121" s="41">
        <v>616124</v>
      </c>
      <c r="N121" s="41">
        <v>348279</v>
      </c>
      <c r="O121" s="41">
        <v>242357</v>
      </c>
      <c r="P121" s="41">
        <v>120217</v>
      </c>
      <c r="Q121" s="41">
        <v>102602</v>
      </c>
      <c r="R121" s="41">
        <v>67635</v>
      </c>
      <c r="S121" s="20"/>
      <c r="T121" s="20"/>
      <c r="U121" s="41">
        <v>6467877</v>
      </c>
      <c r="V121" s="41">
        <v>3365218</v>
      </c>
      <c r="W121" s="41">
        <v>1802211</v>
      </c>
      <c r="X121" s="41">
        <v>1304847</v>
      </c>
      <c r="Y121" s="41">
        <v>1027901</v>
      </c>
      <c r="Z121" s="41">
        <v>498345</v>
      </c>
      <c r="AA121" s="20"/>
      <c r="AB121" s="20"/>
      <c r="AC121" s="41">
        <v>51398399</v>
      </c>
      <c r="AD121" s="41">
        <v>28758911</v>
      </c>
      <c r="AE121" s="41">
        <v>15505141</v>
      </c>
      <c r="AF121" s="41">
        <v>10476673</v>
      </c>
      <c r="AG121" s="41">
        <v>9419783</v>
      </c>
      <c r="AH121" s="43">
        <v>5282334</v>
      </c>
      <c r="AI121" s="21"/>
    </row>
    <row r="122" spans="2:35" x14ac:dyDescent="0.35">
      <c r="B122" s="22"/>
      <c r="C122" s="23"/>
      <c r="D122" s="42" t="s">
        <v>19</v>
      </c>
      <c r="E122" s="41">
        <v>155817</v>
      </c>
      <c r="F122" s="41">
        <v>70337</v>
      </c>
      <c r="G122" s="41">
        <v>59499</v>
      </c>
      <c r="H122" s="41">
        <v>49058</v>
      </c>
      <c r="I122" s="41">
        <v>33848</v>
      </c>
      <c r="J122" s="41">
        <v>14305</v>
      </c>
      <c r="K122" s="20"/>
      <c r="L122" s="20"/>
      <c r="M122" s="41">
        <v>665829</v>
      </c>
      <c r="N122" s="41">
        <v>314691</v>
      </c>
      <c r="O122" s="41">
        <v>202440</v>
      </c>
      <c r="P122" s="41">
        <v>139175</v>
      </c>
      <c r="Q122" s="41">
        <v>135439</v>
      </c>
      <c r="R122" s="41">
        <v>101697</v>
      </c>
      <c r="S122" s="20"/>
      <c r="T122" s="20"/>
      <c r="U122" s="41">
        <v>6484834</v>
      </c>
      <c r="V122" s="41">
        <v>3376252</v>
      </c>
      <c r="W122" s="41">
        <v>1855646</v>
      </c>
      <c r="X122" s="41">
        <v>1300335</v>
      </c>
      <c r="Y122" s="41">
        <v>994137</v>
      </c>
      <c r="Z122" s="41">
        <v>534480</v>
      </c>
      <c r="AA122" s="20"/>
      <c r="AB122" s="20"/>
      <c r="AC122" s="41">
        <v>51451235</v>
      </c>
      <c r="AD122" s="41">
        <v>28739065</v>
      </c>
      <c r="AE122" s="41">
        <v>15671579</v>
      </c>
      <c r="AF122" s="41">
        <v>10754851</v>
      </c>
      <c r="AG122" s="41">
        <v>9255841</v>
      </c>
      <c r="AH122" s="43">
        <v>5260080</v>
      </c>
      <c r="AI122" s="21"/>
    </row>
    <row r="123" spans="2:35" x14ac:dyDescent="0.35">
      <c r="B123" s="22"/>
      <c r="C123" s="23"/>
      <c r="D123" s="42" t="s">
        <v>20</v>
      </c>
      <c r="E123" s="41">
        <v>134325</v>
      </c>
      <c r="F123" s="41">
        <v>90718</v>
      </c>
      <c r="G123" s="41">
        <v>25846</v>
      </c>
      <c r="H123" s="41">
        <v>49078</v>
      </c>
      <c r="I123" s="41">
        <v>33842</v>
      </c>
      <c r="J123" s="41">
        <v>14029</v>
      </c>
      <c r="K123" s="20"/>
      <c r="L123" s="20"/>
      <c r="M123" s="41">
        <v>646648</v>
      </c>
      <c r="N123" s="41">
        <v>330403</v>
      </c>
      <c r="O123" s="41">
        <v>195280</v>
      </c>
      <c r="P123" s="41">
        <v>154758</v>
      </c>
      <c r="Q123" s="41">
        <v>115918</v>
      </c>
      <c r="R123" s="41">
        <v>93327</v>
      </c>
      <c r="S123" s="20"/>
      <c r="T123" s="20"/>
      <c r="U123" s="41">
        <v>6404978</v>
      </c>
      <c r="V123" s="41">
        <v>3356970</v>
      </c>
      <c r="W123" s="41">
        <v>1878786</v>
      </c>
      <c r="X123" s="41">
        <v>1241106</v>
      </c>
      <c r="Y123" s="41">
        <v>1022094</v>
      </c>
      <c r="Z123" s="41">
        <v>538361</v>
      </c>
      <c r="AA123" s="20"/>
      <c r="AB123" s="20"/>
      <c r="AC123" s="41">
        <v>51556733</v>
      </c>
      <c r="AD123" s="41">
        <v>28573392</v>
      </c>
      <c r="AE123" s="41">
        <v>15638850</v>
      </c>
      <c r="AF123" s="41">
        <v>10611511</v>
      </c>
      <c r="AG123" s="41">
        <v>9387425</v>
      </c>
      <c r="AH123" s="43">
        <v>5207965</v>
      </c>
      <c r="AI123" s="21"/>
    </row>
    <row r="124" spans="2:35" x14ac:dyDescent="0.35">
      <c r="B124" s="22"/>
      <c r="C124" s="23"/>
      <c r="D124" s="42" t="s">
        <v>21</v>
      </c>
      <c r="E124" s="41">
        <v>141631</v>
      </c>
      <c r="F124" s="41">
        <v>97070</v>
      </c>
      <c r="G124" s="41">
        <v>58741</v>
      </c>
      <c r="H124" s="41">
        <v>49953</v>
      </c>
      <c r="I124" s="41">
        <v>34006</v>
      </c>
      <c r="J124" s="41">
        <v>14211</v>
      </c>
      <c r="K124" s="20"/>
      <c r="L124" s="20"/>
      <c r="M124" s="41">
        <v>651300</v>
      </c>
      <c r="N124" s="41">
        <v>322982</v>
      </c>
      <c r="O124" s="41">
        <v>183566</v>
      </c>
      <c r="P124" s="41">
        <v>128068</v>
      </c>
      <c r="Q124" s="41">
        <v>91520</v>
      </c>
      <c r="R124" s="41">
        <v>77658</v>
      </c>
      <c r="S124" s="20"/>
      <c r="T124" s="20"/>
      <c r="U124" s="41">
        <v>6838982</v>
      </c>
      <c r="V124" s="41">
        <v>3306012</v>
      </c>
      <c r="W124" s="41">
        <v>1848110</v>
      </c>
      <c r="X124" s="41">
        <v>1243983</v>
      </c>
      <c r="Y124" s="41">
        <v>1030556</v>
      </c>
      <c r="Z124" s="41">
        <v>506937</v>
      </c>
      <c r="AA124" s="20"/>
      <c r="AB124" s="20"/>
      <c r="AC124" s="41">
        <v>51366768</v>
      </c>
      <c r="AD124" s="41">
        <v>27777683</v>
      </c>
      <c r="AE124" s="41">
        <v>15698604</v>
      </c>
      <c r="AF124" s="41">
        <v>10198513</v>
      </c>
      <c r="AG124" s="41">
        <v>9176460</v>
      </c>
      <c r="AH124" s="43">
        <v>5321161</v>
      </c>
      <c r="AI124" s="21"/>
    </row>
    <row r="125" spans="2:35" x14ac:dyDescent="0.35">
      <c r="B125" s="22"/>
      <c r="C125" s="23"/>
      <c r="D125" s="42" t="s">
        <v>22</v>
      </c>
      <c r="E125" s="41">
        <v>133262</v>
      </c>
      <c r="F125" s="41">
        <v>99386</v>
      </c>
      <c r="G125" s="41">
        <v>70919</v>
      </c>
      <c r="H125" s="41">
        <v>44433</v>
      </c>
      <c r="I125" s="41">
        <v>33812</v>
      </c>
      <c r="J125" s="41">
        <v>14620</v>
      </c>
      <c r="K125" s="20"/>
      <c r="L125" s="20"/>
      <c r="M125" s="41">
        <v>632833</v>
      </c>
      <c r="N125" s="41">
        <v>375598</v>
      </c>
      <c r="O125" s="41">
        <v>220393</v>
      </c>
      <c r="P125" s="41">
        <v>122871</v>
      </c>
      <c r="Q125" s="41">
        <v>96237</v>
      </c>
      <c r="R125" s="41">
        <v>71830</v>
      </c>
      <c r="S125" s="20"/>
      <c r="T125" s="20"/>
      <c r="U125" s="41">
        <v>6123198</v>
      </c>
      <c r="V125" s="41">
        <v>3365648</v>
      </c>
      <c r="W125" s="41">
        <v>1834297</v>
      </c>
      <c r="X125" s="41">
        <v>1268572</v>
      </c>
      <c r="Y125" s="41">
        <v>1001711</v>
      </c>
      <c r="Z125" s="41">
        <v>542440</v>
      </c>
      <c r="AA125" s="20"/>
      <c r="AB125" s="20"/>
      <c r="AC125" s="41">
        <v>50944611</v>
      </c>
      <c r="AD125" s="41">
        <v>28069868</v>
      </c>
      <c r="AE125" s="41">
        <v>15641174</v>
      </c>
      <c r="AF125" s="41">
        <v>10715433</v>
      </c>
      <c r="AG125" s="41">
        <v>9444330</v>
      </c>
      <c r="AH125" s="43">
        <v>5317536</v>
      </c>
      <c r="AI125" s="21"/>
    </row>
    <row r="126" spans="2:35" x14ac:dyDescent="0.35">
      <c r="B126" s="22"/>
      <c r="C126" s="23"/>
      <c r="D126" s="42" t="s">
        <v>23</v>
      </c>
      <c r="E126" s="41">
        <v>151998</v>
      </c>
      <c r="F126" s="41">
        <v>90281</v>
      </c>
      <c r="G126" s="41">
        <v>68637</v>
      </c>
      <c r="H126" s="41">
        <v>49273</v>
      </c>
      <c r="I126" s="41">
        <v>33306</v>
      </c>
      <c r="J126" s="41">
        <v>14613</v>
      </c>
      <c r="K126" s="20"/>
      <c r="L126" s="20"/>
      <c r="M126" s="41">
        <v>680381</v>
      </c>
      <c r="N126" s="41">
        <v>315549</v>
      </c>
      <c r="O126" s="41">
        <v>176791</v>
      </c>
      <c r="P126" s="41">
        <v>165683</v>
      </c>
      <c r="Q126" s="41">
        <v>133780</v>
      </c>
      <c r="R126" s="41">
        <v>95140</v>
      </c>
      <c r="S126" s="20"/>
      <c r="T126" s="20"/>
      <c r="U126" s="41">
        <v>6047980</v>
      </c>
      <c r="V126" s="41">
        <v>3322421</v>
      </c>
      <c r="W126" s="41">
        <v>1858537</v>
      </c>
      <c r="X126" s="41">
        <v>1308196</v>
      </c>
      <c r="Y126" s="41">
        <v>1012942</v>
      </c>
      <c r="Z126" s="41">
        <v>534377</v>
      </c>
      <c r="AA126" s="20"/>
      <c r="AB126" s="20"/>
      <c r="AC126" s="41">
        <v>50957852</v>
      </c>
      <c r="AD126" s="41">
        <v>28815500</v>
      </c>
      <c r="AE126" s="41">
        <v>15897785</v>
      </c>
      <c r="AF126" s="41">
        <v>9838478</v>
      </c>
      <c r="AG126" s="41">
        <v>9420086</v>
      </c>
      <c r="AH126" s="43">
        <v>5221938</v>
      </c>
      <c r="AI126" s="21"/>
    </row>
    <row r="127" spans="2:35" x14ac:dyDescent="0.35">
      <c r="B127" s="22"/>
      <c r="C127" s="23"/>
      <c r="D127" s="42" t="s">
        <v>24</v>
      </c>
      <c r="E127" s="41">
        <v>149652</v>
      </c>
      <c r="F127" s="41">
        <v>82580</v>
      </c>
      <c r="G127" s="41">
        <v>62395</v>
      </c>
      <c r="H127" s="41">
        <v>46279</v>
      </c>
      <c r="I127" s="41">
        <v>33700</v>
      </c>
      <c r="J127" s="41">
        <v>15972</v>
      </c>
      <c r="K127" s="20"/>
      <c r="L127" s="20"/>
      <c r="M127" s="41">
        <v>628893</v>
      </c>
      <c r="N127" s="41">
        <v>334091</v>
      </c>
      <c r="O127" s="41">
        <v>164988</v>
      </c>
      <c r="P127" s="41">
        <v>103261</v>
      </c>
      <c r="Q127" s="41">
        <v>127743</v>
      </c>
      <c r="R127" s="41">
        <v>105357</v>
      </c>
      <c r="S127" s="20"/>
      <c r="T127" s="20"/>
      <c r="U127" s="41">
        <v>6428072</v>
      </c>
      <c r="V127" s="41">
        <v>3302381</v>
      </c>
      <c r="W127" s="41">
        <v>1833804</v>
      </c>
      <c r="X127" s="41">
        <v>1251882</v>
      </c>
      <c r="Y127" s="41">
        <v>1040595</v>
      </c>
      <c r="Z127" s="41">
        <v>495388</v>
      </c>
      <c r="AA127" s="20"/>
      <c r="AB127" s="20"/>
      <c r="AC127" s="41">
        <v>51797242</v>
      </c>
      <c r="AD127" s="41">
        <v>28961113</v>
      </c>
      <c r="AE127" s="41">
        <v>15785482</v>
      </c>
      <c r="AF127" s="41">
        <v>10269117</v>
      </c>
      <c r="AG127" s="41">
        <v>9436312</v>
      </c>
      <c r="AH127" s="43">
        <v>5250265</v>
      </c>
      <c r="AI127" s="21"/>
    </row>
    <row r="128" spans="2:35" x14ac:dyDescent="0.35">
      <c r="B128" s="22"/>
      <c r="C128" s="23"/>
      <c r="D128" s="42" t="s">
        <v>25</v>
      </c>
      <c r="E128" s="41">
        <v>132578</v>
      </c>
      <c r="F128" s="41">
        <v>92219</v>
      </c>
      <c r="G128" s="41">
        <v>71211</v>
      </c>
      <c r="H128" s="41">
        <v>45960</v>
      </c>
      <c r="I128" s="41">
        <v>33847</v>
      </c>
      <c r="J128" s="41">
        <v>14345</v>
      </c>
      <c r="K128" s="20"/>
      <c r="L128" s="20"/>
      <c r="M128" s="41">
        <v>626685</v>
      </c>
      <c r="N128" s="41">
        <v>348042</v>
      </c>
      <c r="O128" s="41">
        <v>203309</v>
      </c>
      <c r="P128" s="41">
        <v>134070</v>
      </c>
      <c r="Q128" s="41">
        <v>118002</v>
      </c>
      <c r="R128" s="41">
        <v>106424</v>
      </c>
      <c r="S128" s="20"/>
      <c r="T128" s="20"/>
      <c r="U128" s="41">
        <v>6335575</v>
      </c>
      <c r="V128" s="41">
        <v>3404447</v>
      </c>
      <c r="W128" s="41">
        <v>1846375</v>
      </c>
      <c r="X128" s="41">
        <v>1270277</v>
      </c>
      <c r="Y128" s="41">
        <v>1012085</v>
      </c>
      <c r="Z128" s="41">
        <v>548923</v>
      </c>
      <c r="AA128" s="20"/>
      <c r="AB128" s="20"/>
      <c r="AC128" s="41">
        <v>51723909</v>
      </c>
      <c r="AD128" s="41">
        <v>28996318</v>
      </c>
      <c r="AE128" s="41">
        <v>15320095</v>
      </c>
      <c r="AF128" s="41">
        <v>10757777</v>
      </c>
      <c r="AG128" s="41">
        <v>9291656</v>
      </c>
      <c r="AH128" s="43">
        <v>5384894</v>
      </c>
      <c r="AI128" s="21"/>
    </row>
    <row r="129" spans="2:35" x14ac:dyDescent="0.35">
      <c r="B129" s="22"/>
      <c r="C129" s="23"/>
      <c r="D129" s="42" t="s">
        <v>26</v>
      </c>
      <c r="E129" s="41">
        <v>73657</v>
      </c>
      <c r="F129" s="41">
        <v>60791</v>
      </c>
      <c r="G129" s="41">
        <v>65346</v>
      </c>
      <c r="H129" s="41">
        <v>49028</v>
      </c>
      <c r="I129" s="41">
        <v>34248</v>
      </c>
      <c r="J129" s="41">
        <v>14604</v>
      </c>
      <c r="K129" s="20"/>
      <c r="L129" s="20"/>
      <c r="M129" s="41">
        <v>702831</v>
      </c>
      <c r="N129" s="41">
        <v>337416</v>
      </c>
      <c r="O129" s="41">
        <v>248106</v>
      </c>
      <c r="P129" s="41">
        <v>155418</v>
      </c>
      <c r="Q129" s="41">
        <v>107665</v>
      </c>
      <c r="R129" s="41">
        <v>54073</v>
      </c>
      <c r="S129" s="20"/>
      <c r="T129" s="20"/>
      <c r="U129" s="41">
        <v>6442191</v>
      </c>
      <c r="V129" s="41">
        <v>3388181</v>
      </c>
      <c r="W129" s="41">
        <v>1947547</v>
      </c>
      <c r="X129" s="41">
        <v>1266343</v>
      </c>
      <c r="Y129" s="41">
        <v>1035263</v>
      </c>
      <c r="Z129" s="41">
        <v>520221</v>
      </c>
      <c r="AA129" s="20"/>
      <c r="AB129" s="20"/>
      <c r="AC129" s="41">
        <v>51585258</v>
      </c>
      <c r="AD129" s="41">
        <v>28925927</v>
      </c>
      <c r="AE129" s="41">
        <v>15332039</v>
      </c>
      <c r="AF129" s="41">
        <v>10712256</v>
      </c>
      <c r="AG129" s="41">
        <v>9573314</v>
      </c>
      <c r="AH129" s="43">
        <v>5187851</v>
      </c>
      <c r="AI129" s="21"/>
    </row>
    <row r="130" spans="2:35" x14ac:dyDescent="0.35">
      <c r="B130" s="22"/>
      <c r="C130" s="23"/>
      <c r="D130" s="42" t="s">
        <v>27</v>
      </c>
      <c r="E130" s="41">
        <v>135187</v>
      </c>
      <c r="F130" s="41">
        <v>40096</v>
      </c>
      <c r="G130" s="41">
        <v>71856</v>
      </c>
      <c r="H130" s="41">
        <v>48770</v>
      </c>
      <c r="I130" s="41">
        <v>34103</v>
      </c>
      <c r="J130" s="41">
        <v>14170</v>
      </c>
      <c r="K130" s="20"/>
      <c r="L130" s="20"/>
      <c r="M130" s="41">
        <v>685225</v>
      </c>
      <c r="N130" s="41">
        <v>339625</v>
      </c>
      <c r="O130" s="41">
        <v>188246</v>
      </c>
      <c r="P130" s="41">
        <v>117293</v>
      </c>
      <c r="Q130" s="41">
        <v>129077</v>
      </c>
      <c r="R130" s="41">
        <v>55215</v>
      </c>
      <c r="S130" s="20"/>
      <c r="T130" s="20"/>
      <c r="U130" s="41">
        <v>6114807</v>
      </c>
      <c r="V130" s="41">
        <v>3247595</v>
      </c>
      <c r="W130" s="41">
        <v>1813983</v>
      </c>
      <c r="X130" s="41">
        <v>1260311</v>
      </c>
      <c r="Y130" s="41">
        <v>1034106</v>
      </c>
      <c r="Z130" s="41">
        <v>549366</v>
      </c>
      <c r="AA130" s="20"/>
      <c r="AB130" s="20"/>
      <c r="AC130" s="41">
        <v>51345319</v>
      </c>
      <c r="AD130" s="41">
        <v>28937364</v>
      </c>
      <c r="AE130" s="41">
        <v>15541770</v>
      </c>
      <c r="AF130" s="41">
        <v>10064050</v>
      </c>
      <c r="AG130" s="41">
        <v>9465667</v>
      </c>
      <c r="AH130" s="43">
        <v>5257751</v>
      </c>
      <c r="AI130" s="21"/>
    </row>
    <row r="131" spans="2:35" x14ac:dyDescent="0.35">
      <c r="B131" s="22"/>
      <c r="C131" s="23"/>
      <c r="D131" s="42" t="s">
        <v>28</v>
      </c>
      <c r="E131" s="41">
        <v>73906</v>
      </c>
      <c r="F131" s="41">
        <v>68439</v>
      </c>
      <c r="G131" s="41">
        <v>65876</v>
      </c>
      <c r="H131" s="41">
        <v>49357</v>
      </c>
      <c r="I131" s="41">
        <v>33920</v>
      </c>
      <c r="J131" s="41">
        <v>14293</v>
      </c>
      <c r="K131" s="20"/>
      <c r="L131" s="20"/>
      <c r="M131" s="41">
        <v>707123</v>
      </c>
      <c r="N131" s="41">
        <v>340212</v>
      </c>
      <c r="O131" s="41">
        <v>175680</v>
      </c>
      <c r="P131" s="41">
        <v>110571</v>
      </c>
      <c r="Q131" s="41">
        <v>99989</v>
      </c>
      <c r="R131" s="41">
        <v>85156</v>
      </c>
      <c r="S131" s="20"/>
      <c r="T131" s="20"/>
      <c r="U131" s="41">
        <v>6330765</v>
      </c>
      <c r="V131" s="41">
        <v>3492633</v>
      </c>
      <c r="W131" s="41">
        <v>1838324</v>
      </c>
      <c r="X131" s="41">
        <v>1236601</v>
      </c>
      <c r="Y131" s="41">
        <v>1025677</v>
      </c>
      <c r="Z131" s="41">
        <v>551779</v>
      </c>
      <c r="AA131" s="20"/>
      <c r="AB131" s="20"/>
      <c r="AC131" s="41">
        <v>51628824</v>
      </c>
      <c r="AD131" s="41">
        <v>27015603</v>
      </c>
      <c r="AE131" s="41">
        <v>15786382</v>
      </c>
      <c r="AF131" s="41">
        <v>10550418</v>
      </c>
      <c r="AG131" s="41">
        <v>9494545</v>
      </c>
      <c r="AH131" s="43">
        <v>5193582</v>
      </c>
      <c r="AI131" s="21"/>
    </row>
    <row r="132" spans="2:35" x14ac:dyDescent="0.35">
      <c r="B132" s="22"/>
      <c r="C132" s="23"/>
      <c r="D132" s="42" t="s">
        <v>29</v>
      </c>
      <c r="E132" s="41">
        <v>73797</v>
      </c>
      <c r="F132" s="41">
        <v>94813</v>
      </c>
      <c r="G132" s="41">
        <v>66123</v>
      </c>
      <c r="H132" s="41">
        <v>45397</v>
      </c>
      <c r="I132" s="41">
        <v>33652</v>
      </c>
      <c r="J132" s="41">
        <v>14110</v>
      </c>
      <c r="K132" s="20"/>
      <c r="L132" s="20"/>
      <c r="M132" s="41">
        <v>678216</v>
      </c>
      <c r="N132" s="41">
        <v>315386</v>
      </c>
      <c r="O132" s="41">
        <v>174152</v>
      </c>
      <c r="P132" s="41">
        <v>179321</v>
      </c>
      <c r="Q132" s="41">
        <v>123134</v>
      </c>
      <c r="R132" s="41">
        <v>107596</v>
      </c>
      <c r="S132" s="20"/>
      <c r="T132" s="20"/>
      <c r="U132" s="41">
        <v>6063684</v>
      </c>
      <c r="V132" s="41">
        <v>3447482</v>
      </c>
      <c r="W132" s="41">
        <v>1827864</v>
      </c>
      <c r="X132" s="41">
        <v>1300991</v>
      </c>
      <c r="Y132" s="41">
        <v>1024266</v>
      </c>
      <c r="Z132" s="41">
        <v>499683</v>
      </c>
      <c r="AA132" s="20"/>
      <c r="AB132" s="20"/>
      <c r="AC132" s="41">
        <v>51444369</v>
      </c>
      <c r="AD132" s="41">
        <v>28855888</v>
      </c>
      <c r="AE132" s="41">
        <v>15723448</v>
      </c>
      <c r="AF132" s="41">
        <v>10811955</v>
      </c>
      <c r="AG132" s="41">
        <v>9541467</v>
      </c>
      <c r="AH132" s="43">
        <v>5308032</v>
      </c>
      <c r="AI132" s="21"/>
    </row>
    <row r="133" spans="2:35" x14ac:dyDescent="0.35">
      <c r="B133" s="22"/>
      <c r="C133" s="23"/>
      <c r="D133" s="42" t="s">
        <v>30</v>
      </c>
      <c r="E133" s="41">
        <v>163634</v>
      </c>
      <c r="F133" s="41">
        <v>95858</v>
      </c>
      <c r="G133" s="41">
        <v>67202</v>
      </c>
      <c r="H133" s="41">
        <v>46151</v>
      </c>
      <c r="I133" s="41">
        <v>33813</v>
      </c>
      <c r="J133" s="41">
        <v>14428</v>
      </c>
      <c r="K133" s="20"/>
      <c r="L133" s="20"/>
      <c r="M133" s="41">
        <v>686900</v>
      </c>
      <c r="N133" s="41">
        <v>325172</v>
      </c>
      <c r="O133" s="41">
        <v>219728</v>
      </c>
      <c r="P133" s="41">
        <v>111012</v>
      </c>
      <c r="Q133" s="41">
        <v>112211</v>
      </c>
      <c r="R133" s="41">
        <v>58232</v>
      </c>
      <c r="S133" s="20"/>
      <c r="T133" s="20"/>
      <c r="U133" s="41">
        <v>6674250</v>
      </c>
      <c r="V133" s="41">
        <v>3293547</v>
      </c>
      <c r="W133" s="41">
        <v>1849025</v>
      </c>
      <c r="X133" s="41">
        <v>1252957</v>
      </c>
      <c r="Y133" s="41">
        <v>1013401</v>
      </c>
      <c r="Z133" s="41">
        <v>533378</v>
      </c>
      <c r="AA133" s="20"/>
      <c r="AB133" s="20"/>
      <c r="AC133" s="41">
        <v>51533344</v>
      </c>
      <c r="AD133" s="41">
        <v>27660025</v>
      </c>
      <c r="AE133" s="41">
        <v>15574034</v>
      </c>
      <c r="AF133" s="41">
        <v>10638474</v>
      </c>
      <c r="AG133" s="41">
        <v>9426878</v>
      </c>
      <c r="AH133" s="43">
        <v>5304351</v>
      </c>
      <c r="AI133" s="21"/>
    </row>
    <row r="134" spans="2:35" x14ac:dyDescent="0.35">
      <c r="B134" s="22"/>
      <c r="C134" s="23"/>
      <c r="D134" s="42" t="s">
        <v>31</v>
      </c>
      <c r="E134" s="41">
        <v>156170</v>
      </c>
      <c r="F134" s="41">
        <v>60193</v>
      </c>
      <c r="G134" s="41">
        <v>66665</v>
      </c>
      <c r="H134" s="41">
        <v>44979</v>
      </c>
      <c r="I134" s="41">
        <v>33599</v>
      </c>
      <c r="J134" s="41">
        <v>14118</v>
      </c>
      <c r="K134" s="20"/>
      <c r="L134" s="20"/>
      <c r="M134" s="41">
        <v>688598</v>
      </c>
      <c r="N134" s="41">
        <v>317110</v>
      </c>
      <c r="O134" s="41">
        <v>179231</v>
      </c>
      <c r="P134" s="41">
        <v>117783</v>
      </c>
      <c r="Q134" s="41">
        <v>108549</v>
      </c>
      <c r="R134" s="41">
        <v>94127</v>
      </c>
      <c r="S134" s="20"/>
      <c r="T134" s="20"/>
      <c r="U134" s="41">
        <v>6724146</v>
      </c>
      <c r="V134" s="41">
        <v>3368099</v>
      </c>
      <c r="W134" s="41">
        <v>1817687</v>
      </c>
      <c r="X134" s="41">
        <v>1287449</v>
      </c>
      <c r="Y134" s="41">
        <v>1053751</v>
      </c>
      <c r="Z134" s="41">
        <v>556671</v>
      </c>
      <c r="AA134" s="20"/>
      <c r="AB134" s="20"/>
      <c r="AC134" s="41">
        <v>51747770</v>
      </c>
      <c r="AD134" s="41">
        <v>28440305</v>
      </c>
      <c r="AE134" s="41">
        <v>15355255</v>
      </c>
      <c r="AF134" s="41">
        <v>10764489</v>
      </c>
      <c r="AG134" s="41">
        <v>9262545</v>
      </c>
      <c r="AH134" s="43">
        <v>5296559</v>
      </c>
      <c r="AI134" s="21"/>
    </row>
    <row r="135" spans="2:35" x14ac:dyDescent="0.35">
      <c r="B135" s="22"/>
      <c r="C135" s="23"/>
      <c r="D135" s="42" t="s">
        <v>32</v>
      </c>
      <c r="E135" s="41">
        <v>141502</v>
      </c>
      <c r="F135" s="41">
        <v>91112</v>
      </c>
      <c r="G135" s="41">
        <v>73199</v>
      </c>
      <c r="H135" s="41">
        <v>47127</v>
      </c>
      <c r="I135" s="41">
        <v>33362</v>
      </c>
      <c r="J135" s="41">
        <v>14197</v>
      </c>
      <c r="K135" s="20"/>
      <c r="L135" s="20"/>
      <c r="M135" s="41">
        <v>651629</v>
      </c>
      <c r="N135" s="41">
        <v>344328</v>
      </c>
      <c r="O135" s="41">
        <v>182498</v>
      </c>
      <c r="P135" s="41">
        <v>137932</v>
      </c>
      <c r="Q135" s="41">
        <v>131647</v>
      </c>
      <c r="R135" s="41">
        <v>101245</v>
      </c>
      <c r="S135" s="20"/>
      <c r="T135" s="20"/>
      <c r="U135" s="41">
        <v>6218334</v>
      </c>
      <c r="V135" s="41">
        <v>3327662</v>
      </c>
      <c r="W135" s="41">
        <v>1842426</v>
      </c>
      <c r="X135" s="41">
        <v>1284582</v>
      </c>
      <c r="Y135" s="41">
        <v>1018685</v>
      </c>
      <c r="Z135" s="41">
        <v>524976</v>
      </c>
      <c r="AA135" s="20"/>
      <c r="AB135" s="20"/>
      <c r="AC135" s="41">
        <v>51417052</v>
      </c>
      <c r="AD135" s="41">
        <v>29046331</v>
      </c>
      <c r="AE135" s="41">
        <v>15321223</v>
      </c>
      <c r="AF135" s="41">
        <v>10066896</v>
      </c>
      <c r="AG135" s="41">
        <v>9549165</v>
      </c>
      <c r="AH135" s="43">
        <v>5341295</v>
      </c>
      <c r="AI135" s="21"/>
    </row>
    <row r="136" spans="2:35" x14ac:dyDescent="0.35">
      <c r="B136" s="22"/>
      <c r="C136" s="23"/>
      <c r="D136" s="42" t="s">
        <v>33</v>
      </c>
      <c r="E136" s="41">
        <v>130988</v>
      </c>
      <c r="F136" s="41">
        <v>91384</v>
      </c>
      <c r="G136" s="41">
        <v>65720</v>
      </c>
      <c r="H136" s="41">
        <v>47022</v>
      </c>
      <c r="I136" s="41">
        <v>33305</v>
      </c>
      <c r="J136" s="41">
        <v>14308</v>
      </c>
      <c r="K136" s="20"/>
      <c r="L136" s="20"/>
      <c r="M136" s="41">
        <v>704500</v>
      </c>
      <c r="N136" s="41">
        <v>340180</v>
      </c>
      <c r="O136" s="41">
        <v>169105</v>
      </c>
      <c r="P136" s="41">
        <v>175870</v>
      </c>
      <c r="Q136" s="41">
        <v>132134</v>
      </c>
      <c r="R136" s="41">
        <v>100575</v>
      </c>
      <c r="S136" s="20"/>
      <c r="T136" s="20"/>
      <c r="U136" s="41">
        <v>6096570</v>
      </c>
      <c r="V136" s="41">
        <v>3385787</v>
      </c>
      <c r="W136" s="41">
        <v>1951733</v>
      </c>
      <c r="X136" s="41">
        <v>1285336</v>
      </c>
      <c r="Y136" s="41">
        <v>1003098</v>
      </c>
      <c r="Z136" s="41">
        <v>533344</v>
      </c>
      <c r="AA136" s="20"/>
      <c r="AB136" s="20"/>
      <c r="AC136" s="41">
        <v>51683014</v>
      </c>
      <c r="AD136" s="41">
        <v>27753579</v>
      </c>
      <c r="AE136" s="41">
        <v>15886661</v>
      </c>
      <c r="AF136" s="41">
        <v>10680345</v>
      </c>
      <c r="AG136" s="41">
        <v>9483666</v>
      </c>
      <c r="AH136" s="43">
        <v>5252628</v>
      </c>
      <c r="AI136" s="21"/>
    </row>
    <row r="137" spans="2:35" x14ac:dyDescent="0.35">
      <c r="B137" s="22"/>
      <c r="C137" s="23"/>
      <c r="D137" s="42" t="s">
        <v>34</v>
      </c>
      <c r="E137" s="41">
        <v>132722</v>
      </c>
      <c r="F137" s="41">
        <v>46959</v>
      </c>
      <c r="G137" s="41">
        <v>74718</v>
      </c>
      <c r="H137" s="41">
        <v>39151</v>
      </c>
      <c r="I137" s="41">
        <v>33595</v>
      </c>
      <c r="J137" s="41">
        <v>14656</v>
      </c>
      <c r="K137" s="20"/>
      <c r="L137" s="20"/>
      <c r="M137" s="41">
        <v>680220</v>
      </c>
      <c r="N137" s="41">
        <v>315876</v>
      </c>
      <c r="O137" s="41">
        <v>182869</v>
      </c>
      <c r="P137" s="41">
        <v>123529</v>
      </c>
      <c r="Q137" s="41">
        <v>97390</v>
      </c>
      <c r="R137" s="41">
        <v>109756</v>
      </c>
      <c r="S137" s="20"/>
      <c r="T137" s="20"/>
      <c r="U137" s="41">
        <v>6491076</v>
      </c>
      <c r="V137" s="41">
        <v>3306312</v>
      </c>
      <c r="W137" s="41">
        <v>1829258</v>
      </c>
      <c r="X137" s="41">
        <v>1255951</v>
      </c>
      <c r="Y137" s="41">
        <v>1010666</v>
      </c>
      <c r="Z137" s="41">
        <v>530355</v>
      </c>
      <c r="AA137" s="20"/>
      <c r="AB137" s="20"/>
      <c r="AC137" s="41">
        <v>51653189</v>
      </c>
      <c r="AD137" s="41">
        <v>29230530</v>
      </c>
      <c r="AE137" s="41">
        <v>15637620</v>
      </c>
      <c r="AF137" s="41">
        <v>9823163</v>
      </c>
      <c r="AG137" s="41">
        <v>9380195</v>
      </c>
      <c r="AH137" s="43">
        <v>5245494</v>
      </c>
      <c r="AI137" s="21"/>
    </row>
    <row r="138" spans="2:35" x14ac:dyDescent="0.35">
      <c r="B138" s="22"/>
      <c r="C138" s="23"/>
      <c r="D138" s="42" t="s">
        <v>35</v>
      </c>
      <c r="E138" s="41">
        <v>133425</v>
      </c>
      <c r="F138" s="41">
        <v>79664</v>
      </c>
      <c r="G138" s="41">
        <v>65429</v>
      </c>
      <c r="H138" s="41">
        <v>43506</v>
      </c>
      <c r="I138" s="41">
        <v>33875</v>
      </c>
      <c r="J138" s="41">
        <v>14538</v>
      </c>
      <c r="K138" s="20"/>
      <c r="L138" s="20"/>
      <c r="M138" s="41">
        <v>644697</v>
      </c>
      <c r="N138" s="41">
        <v>343739</v>
      </c>
      <c r="O138" s="41">
        <v>195392</v>
      </c>
      <c r="P138" s="41">
        <v>137241</v>
      </c>
      <c r="Q138" s="41">
        <v>101242</v>
      </c>
      <c r="R138" s="41">
        <v>97883</v>
      </c>
      <c r="S138" s="20"/>
      <c r="T138" s="20"/>
      <c r="U138" s="41">
        <v>6121392</v>
      </c>
      <c r="V138" s="41">
        <v>3349634</v>
      </c>
      <c r="W138" s="41">
        <v>1816635</v>
      </c>
      <c r="X138" s="41">
        <v>1266817</v>
      </c>
      <c r="Y138" s="41">
        <v>1028199</v>
      </c>
      <c r="Z138" s="41">
        <v>552478</v>
      </c>
      <c r="AA138" s="20"/>
      <c r="AB138" s="20"/>
      <c r="AC138" s="41">
        <v>51727074</v>
      </c>
      <c r="AD138" s="41">
        <v>28836428</v>
      </c>
      <c r="AE138" s="41">
        <v>15287118</v>
      </c>
      <c r="AF138" s="41">
        <v>10981987</v>
      </c>
      <c r="AG138" s="41">
        <v>9366070</v>
      </c>
      <c r="AH138" s="43">
        <v>5346175</v>
      </c>
      <c r="AI138" s="21"/>
    </row>
    <row r="139" spans="2:35" x14ac:dyDescent="0.35">
      <c r="B139" s="22"/>
      <c r="C139" s="23"/>
      <c r="D139" s="42" t="s">
        <v>36</v>
      </c>
      <c r="E139" s="41">
        <v>154967</v>
      </c>
      <c r="F139" s="41">
        <v>79753</v>
      </c>
      <c r="G139" s="41">
        <v>68869</v>
      </c>
      <c r="H139" s="41">
        <v>44953</v>
      </c>
      <c r="I139" s="41">
        <v>33721</v>
      </c>
      <c r="J139" s="41">
        <v>14471</v>
      </c>
      <c r="K139" s="20"/>
      <c r="L139" s="20"/>
      <c r="M139" s="41">
        <v>662717</v>
      </c>
      <c r="N139" s="41">
        <v>380896</v>
      </c>
      <c r="O139" s="41">
        <v>170623</v>
      </c>
      <c r="P139" s="41">
        <v>145603</v>
      </c>
      <c r="Q139" s="41">
        <v>97633</v>
      </c>
      <c r="R139" s="41">
        <v>114504</v>
      </c>
      <c r="S139" s="20"/>
      <c r="T139" s="20"/>
      <c r="U139" s="41">
        <v>6408750</v>
      </c>
      <c r="V139" s="41">
        <v>3532996</v>
      </c>
      <c r="W139" s="41">
        <v>1965391</v>
      </c>
      <c r="X139" s="41">
        <v>1285546</v>
      </c>
      <c r="Y139" s="41">
        <v>1063039</v>
      </c>
      <c r="Z139" s="41">
        <v>560911</v>
      </c>
      <c r="AA139" s="20"/>
      <c r="AB139" s="20"/>
      <c r="AC139" s="41">
        <v>51599825</v>
      </c>
      <c r="AD139" s="41">
        <v>28845248</v>
      </c>
      <c r="AE139" s="41">
        <v>15713341</v>
      </c>
      <c r="AF139" s="41">
        <v>10649456</v>
      </c>
      <c r="AG139" s="41">
        <v>9072478</v>
      </c>
      <c r="AH139" s="43">
        <v>5363365</v>
      </c>
      <c r="AI139" s="21"/>
    </row>
    <row r="140" spans="2:35" x14ac:dyDescent="0.35">
      <c r="B140" s="22"/>
      <c r="C140" s="23"/>
      <c r="D140" s="42" t="s">
        <v>37</v>
      </c>
      <c r="E140" s="41">
        <v>132656</v>
      </c>
      <c r="F140" s="41">
        <v>92631</v>
      </c>
      <c r="G140" s="41">
        <v>56037</v>
      </c>
      <c r="H140" s="41">
        <v>44138</v>
      </c>
      <c r="I140" s="41">
        <v>33654</v>
      </c>
      <c r="J140" s="41">
        <v>14454</v>
      </c>
      <c r="K140" s="20"/>
      <c r="L140" s="20"/>
      <c r="M140" s="41">
        <v>671321</v>
      </c>
      <c r="N140" s="41">
        <v>344121</v>
      </c>
      <c r="O140" s="41">
        <v>190657</v>
      </c>
      <c r="P140" s="41">
        <v>166887</v>
      </c>
      <c r="Q140" s="41">
        <v>140969</v>
      </c>
      <c r="R140" s="41">
        <v>103535</v>
      </c>
      <c r="S140" s="20"/>
      <c r="T140" s="20"/>
      <c r="U140" s="41">
        <v>6090749</v>
      </c>
      <c r="V140" s="41">
        <v>3266314</v>
      </c>
      <c r="W140" s="41">
        <v>1805894</v>
      </c>
      <c r="X140" s="41">
        <v>1309729</v>
      </c>
      <c r="Y140" s="41">
        <v>1021442</v>
      </c>
      <c r="Z140" s="41">
        <v>533073</v>
      </c>
      <c r="AA140" s="20"/>
      <c r="AB140" s="20"/>
      <c r="AC140" s="41">
        <v>51770756</v>
      </c>
      <c r="AD140" s="41">
        <v>27830922</v>
      </c>
      <c r="AE140" s="41">
        <v>15398979</v>
      </c>
      <c r="AF140" s="41">
        <v>9892662</v>
      </c>
      <c r="AG140" s="41">
        <v>8877839</v>
      </c>
      <c r="AH140" s="43">
        <v>5313886</v>
      </c>
      <c r="AI140" s="21"/>
    </row>
    <row r="141" spans="2:35" x14ac:dyDescent="0.35">
      <c r="B141" s="22"/>
      <c r="C141" s="23"/>
      <c r="D141" s="42" t="s">
        <v>38</v>
      </c>
      <c r="E141" s="41">
        <v>152338</v>
      </c>
      <c r="F141" s="41">
        <v>93974</v>
      </c>
      <c r="G141" s="41">
        <v>67037</v>
      </c>
      <c r="H141" s="41">
        <v>47937</v>
      </c>
      <c r="I141" s="41">
        <v>33921</v>
      </c>
      <c r="J141" s="41">
        <v>14472</v>
      </c>
      <c r="K141" s="20"/>
      <c r="L141" s="20"/>
      <c r="M141" s="41">
        <v>621574</v>
      </c>
      <c r="N141" s="41">
        <v>314755</v>
      </c>
      <c r="O141" s="41">
        <v>196056</v>
      </c>
      <c r="P141" s="41">
        <v>151194</v>
      </c>
      <c r="Q141" s="41">
        <v>128270</v>
      </c>
      <c r="R141" s="41">
        <v>101702</v>
      </c>
      <c r="S141" s="20"/>
      <c r="T141" s="20"/>
      <c r="U141" s="41">
        <v>6496928</v>
      </c>
      <c r="V141" s="41">
        <v>3347137</v>
      </c>
      <c r="W141" s="41">
        <v>1799627</v>
      </c>
      <c r="X141" s="41">
        <v>1267942</v>
      </c>
      <c r="Y141" s="41">
        <v>999322</v>
      </c>
      <c r="Z141" s="41">
        <v>477962</v>
      </c>
      <c r="AA141" s="20"/>
      <c r="AB141" s="20"/>
      <c r="AC141" s="41">
        <v>51564963</v>
      </c>
      <c r="AD141" s="41">
        <v>26162125</v>
      </c>
      <c r="AE141" s="41">
        <v>15349396</v>
      </c>
      <c r="AF141" s="41">
        <v>10856608</v>
      </c>
      <c r="AG141" s="41">
        <v>9435300</v>
      </c>
      <c r="AH141" s="43">
        <v>5332321</v>
      </c>
      <c r="AI141" s="21"/>
    </row>
    <row r="142" spans="2:35" x14ac:dyDescent="0.35">
      <c r="B142" s="22"/>
      <c r="C142" s="23"/>
      <c r="D142" s="42" t="s">
        <v>39</v>
      </c>
      <c r="E142" s="41">
        <v>132579</v>
      </c>
      <c r="F142" s="41">
        <v>96667</v>
      </c>
      <c r="G142" s="41">
        <v>58246</v>
      </c>
      <c r="H142" s="41">
        <v>43353</v>
      </c>
      <c r="I142" s="41">
        <v>33459</v>
      </c>
      <c r="J142" s="41">
        <v>14056</v>
      </c>
      <c r="K142" s="20"/>
      <c r="L142" s="20"/>
      <c r="M142" s="41">
        <v>672960</v>
      </c>
      <c r="N142" s="41">
        <v>351764</v>
      </c>
      <c r="O142" s="41">
        <v>216480</v>
      </c>
      <c r="P142" s="41">
        <v>147233</v>
      </c>
      <c r="Q142" s="41">
        <v>131545</v>
      </c>
      <c r="R142" s="41">
        <v>108949</v>
      </c>
      <c r="S142" s="20"/>
      <c r="T142" s="20"/>
      <c r="U142" s="41">
        <v>6366081</v>
      </c>
      <c r="V142" s="41">
        <v>3345929</v>
      </c>
      <c r="W142" s="41">
        <v>1816855</v>
      </c>
      <c r="X142" s="41">
        <v>1307885</v>
      </c>
      <c r="Y142" s="41">
        <v>1019215</v>
      </c>
      <c r="Z142" s="41">
        <v>543187</v>
      </c>
      <c r="AA142" s="20"/>
      <c r="AB142" s="20"/>
      <c r="AC142" s="41">
        <v>51244616</v>
      </c>
      <c r="AD142" s="41">
        <v>29140435</v>
      </c>
      <c r="AE142" s="41">
        <v>15536936</v>
      </c>
      <c r="AF142" s="41">
        <v>10233059</v>
      </c>
      <c r="AG142" s="41">
        <v>9055033</v>
      </c>
      <c r="AH142" s="43">
        <v>5321550</v>
      </c>
      <c r="AI142" s="21"/>
    </row>
    <row r="143" spans="2:35" ht="16.5" customHeight="1" thickBot="1" x14ac:dyDescent="0.4">
      <c r="B143" s="22"/>
      <c r="C143" s="24"/>
      <c r="D143" s="37" t="s">
        <v>44</v>
      </c>
      <c r="E143" s="25" cm="1">
        <f t="array" ref="E143">ROUND(AVERAGE(IF((ISNUMBER(E113:E142))*(E113:E142&lt;LARGE(E113:E142,2))*(E113:E142&gt;SMALL(E113:E142,2)),E113:E142)),0)</f>
        <v>130105</v>
      </c>
      <c r="F143" s="25" cm="1">
        <f t="array" ref="F143">ROUND(AVERAGE(IF((ISNUMBER(F113:F142))*(F113:F142&lt;LARGE(F113:F142,2))*(F113:F142&gt;SMALL(F113:F142,2)),F113:F142)),0)</f>
        <v>85335</v>
      </c>
      <c r="G143" s="25" cm="1">
        <f t="array" ref="G143">ROUND(AVERAGE(IF((ISNUMBER(G113:G142))*(G113:G142&lt;LARGE(G113:G142,2))*(G113:G142&gt;SMALL(G113:G142,2)),G113:G142)),0)</f>
        <v>65692</v>
      </c>
      <c r="H143" s="25" cm="1">
        <f t="array" ref="H143">ROUND(AVERAGE(IF((ISNUMBER(H113:H142))*(H113:H142&lt;LARGE(H113:H142,2))*(H113:H142&gt;SMALL(H113:H142,2)),H113:H142)),0)</f>
        <v>46894</v>
      </c>
      <c r="I143" s="25" cm="1">
        <f t="array" ref="I143">ROUND(AVERAGE(IF((ISNUMBER(I113:I142))*(I113:I142&lt;LARGE(I113:I142,2))*(I113:I142&gt;SMALL(I113:I142,2)),I113:I142)),0)</f>
        <v>33723</v>
      </c>
      <c r="J143" s="25" cm="1">
        <f t="array" ref="J143">ROUND(AVERAGE(IF((ISNUMBER(J113:J142))*(J113:J142&lt;LARGE(J113:J142,2))*(J113:J142&gt;SMALL(J113:J142,2)),J113:J142)),0)</f>
        <v>14354</v>
      </c>
      <c r="K143" s="25"/>
      <c r="L143" s="25"/>
      <c r="M143" s="25" cm="1">
        <f t="array" ref="M143">ROUND(AVERAGE(IF((ISNUMBER(M113:M142))*(M113:M142&lt;LARGE(M113:M142,2))*(M113:M142&gt;SMALL(M113:M142,2)),M113:M142)),0)</f>
        <v>664335</v>
      </c>
      <c r="N143" s="25" cm="1">
        <f t="array" ref="N143">ROUND(AVERAGE(IF((ISNUMBER(N113:N142))*(N113:N142&lt;LARGE(N113:N142,2))*(N113:N142&gt;SMALL(N113:N142,2)),N113:N142)),0)</f>
        <v>337770</v>
      </c>
      <c r="O143" s="25" cm="1">
        <f t="array" ref="O143">ROUND(AVERAGE(IF((ISNUMBER(O113:O142))*(O113:O142&lt;LARGE(O113:O142,2))*(O113:O142&gt;SMALL(O113:O142,2)),O113:O142)),0)</f>
        <v>193635</v>
      </c>
      <c r="P143" s="25" cm="1">
        <f t="array" ref="P143">ROUND(AVERAGE(IF((ISNUMBER(P113:P142))*(P113:P142&lt;LARGE(P113:P142,2))*(P113:P142&gt;SMALL(P113:P142,2)),P113:P142)),0)</f>
        <v>137635</v>
      </c>
      <c r="Q143" s="25" cm="1">
        <f t="array" ref="Q143">ROUND(AVERAGE(IF((ISNUMBER(Q113:Q142))*(Q113:Q142&lt;LARGE(Q113:Q142,2))*(Q113:Q142&gt;SMALL(Q113:Q142,2)),Q113:Q142)),0)</f>
        <v>118361</v>
      </c>
      <c r="R143" s="25" cm="1">
        <f t="array" ref="R143">ROUND(AVERAGE(IF((ISNUMBER(R113:R142))*(R113:R142&lt;LARGE(R113:R142,2))*(R113:R142&gt;SMALL(R113:R142,2)),R113:R142)),0)</f>
        <v>95908</v>
      </c>
      <c r="S143" s="25"/>
      <c r="T143" s="25"/>
      <c r="U143" s="25" cm="1">
        <f t="array" ref="U143">ROUND(AVERAGE(IF((ISNUMBER(U113:U142))*(U113:U142&lt;LARGE(U113:U142,2))*(U113:U142&gt;SMALL(U113:U142,2)),U113:U142)),0)</f>
        <v>6376706</v>
      </c>
      <c r="V143" s="25" cm="1">
        <f t="array" ref="V143">ROUND(AVERAGE(IF((ISNUMBER(V113:V142))*(V113:V142&lt;LARGE(V113:V142,2))*(V113:V142&gt;SMALL(V113:V142,2)),V113:V142)),0)</f>
        <v>3359561</v>
      </c>
      <c r="W143" s="25" cm="1">
        <f t="array" ref="W143">ROUND(AVERAGE(IF((ISNUMBER(W113:W142))*(W113:W142&lt;LARGE(W113:W142,2))*(W113:W142&gt;SMALL(W113:W142,2)),W113:W142)),0)</f>
        <v>1849288</v>
      </c>
      <c r="X143" s="25" cm="1">
        <f t="array" ref="X143">ROUND(AVERAGE(IF((ISNUMBER(X113:X142))*(X113:X142&lt;LARGE(X113:X142,2))*(X113:X142&gt;SMALL(X113:X142,2)),X113:X142)),0)</f>
        <v>1270678</v>
      </c>
      <c r="Y143" s="25" cm="1">
        <f t="array" ref="Y143">ROUND(AVERAGE(IF((ISNUMBER(Y113:Y142))*(Y113:Y142&lt;LARGE(Y113:Y142,2))*(Y113:Y142&gt;SMALL(Y113:Y142,2)),Y113:Y142)),0)</f>
        <v>1026778</v>
      </c>
      <c r="Z143" s="25" cm="1">
        <f t="array" ref="Z143">ROUND(AVERAGE(IF((ISNUMBER(Z113:Z142))*(Z113:Z142&lt;LARGE(Z113:Z142,2))*(Z113:Z142&gt;SMALL(Z113:Z142,2)),Z113:Z142)),0)</f>
        <v>535656</v>
      </c>
      <c r="AA143" s="25"/>
      <c r="AB143" s="25"/>
      <c r="AC143" s="25" cm="1">
        <f t="array" ref="AC143">ROUND(AVERAGE(IF((ISNUMBER(AC113:AC142))*(AC113:AC142&lt;LARGE(AC113:AC142,2))*(AC113:AC142&gt;SMALL(AC113:AC142,2)),AC113:AC142)),0)</f>
        <v>51511213</v>
      </c>
      <c r="AD143" s="25" cm="1">
        <f t="array" ref="AD143">ROUND(AVERAGE(IF((ISNUMBER(AD113:AD142))*(AD113:AD142&lt;LARGE(AD113:AD142,2))*(AD113:AD142&gt;SMALL(AD113:AD142,2)),AD113:AD142)),0)</f>
        <v>28445181</v>
      </c>
      <c r="AE143" s="25" cm="1">
        <f t="array" ref="AE143">ROUND(AVERAGE(IF((ISNUMBER(AE113:AE142))*(AE113:AE142&lt;LARGE(AE113:AE142,2))*(AE113:AE142&gt;SMALL(AE113:AE142,2)),AE113:AE142)),0)</f>
        <v>15594130</v>
      </c>
      <c r="AF143" s="25" cm="1">
        <f t="array" ref="AF143">ROUND(AVERAGE(IF((ISNUMBER(AF113:AF142))*(AF113:AF142&lt;LARGE(AF113:AF142,2))*(AF113:AF142&gt;SMALL(AF113:AF142,2)),AF113:AF142)),0)</f>
        <v>10536685</v>
      </c>
      <c r="AG143" s="25" cm="1">
        <f t="array" ref="AG143">ROUND(AVERAGE(IF((ISNUMBER(AG113:AG142))*(AG113:AG142&lt;LARGE(AG113:AG142,2))*(AG113:AG142&gt;SMALL(AG113:AG142,2)),AG113:AG142)),0)</f>
        <v>9400085</v>
      </c>
      <c r="AH143" s="26" cm="1">
        <f t="array" ref="AH143">ROUND(AVERAGE(IF((ISNUMBER(AH113:AH142))*(AH113:AH142&lt;LARGE(AH113:AH142,2))*(AH113:AH142&gt;SMALL(AH113:AH142,2)),AH113:AH142)),0)</f>
        <v>5285659</v>
      </c>
      <c r="AI143" s="21"/>
    </row>
    <row r="144" spans="2:35" ht="16.5" customHeight="1" thickBot="1" x14ac:dyDescent="0.4">
      <c r="B144" s="27"/>
      <c r="C144" s="28"/>
      <c r="D144" s="3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9"/>
    </row>
    <row r="145" spans="4:4" x14ac:dyDescent="0.35">
      <c r="D145" s="1"/>
    </row>
    <row r="146" spans="4:4" x14ac:dyDescent="0.35">
      <c r="D146" s="1"/>
    </row>
  </sheetData>
  <mergeCells count="12">
    <mergeCell ref="AA76:AB76"/>
    <mergeCell ref="S76:T76"/>
    <mergeCell ref="K76:L76"/>
    <mergeCell ref="K112:L112"/>
    <mergeCell ref="S112:T112"/>
    <mergeCell ref="AA112:AB112"/>
    <mergeCell ref="K4:L4"/>
    <mergeCell ref="S4:T4"/>
    <mergeCell ref="AA4:AB4"/>
    <mergeCell ref="K40:L40"/>
    <mergeCell ref="S40:T40"/>
    <mergeCell ref="AA40:AB4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4C3-8059-4775-A519-544C60E17FF9}">
  <dimension ref="B5:AK274"/>
  <sheetViews>
    <sheetView zoomScale="55" zoomScaleNormal="55" workbookViewId="0">
      <selection activeCell="O12" sqref="O12"/>
    </sheetView>
  </sheetViews>
  <sheetFormatPr baseColWidth="10" defaultRowHeight="14.5" x14ac:dyDescent="0.35"/>
  <cols>
    <col min="3" max="3" width="27.1796875" customWidth="1"/>
    <col min="4" max="4" width="10.90625" customWidth="1"/>
    <col min="11" max="11" width="10.90625" customWidth="1"/>
  </cols>
  <sheetData>
    <row r="5" spans="2:37" ht="15" thickBot="1" x14ac:dyDescent="0.4"/>
    <row r="6" spans="2:37" x14ac:dyDescent="0.35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37" ht="37" x14ac:dyDescent="0.85">
      <c r="B7" s="5"/>
      <c r="C7" s="6" t="s">
        <v>40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</row>
    <row r="8" spans="2:37" x14ac:dyDescent="0.35">
      <c r="B8" s="5"/>
      <c r="C8" s="9" t="s">
        <v>45</v>
      </c>
      <c r="D8" s="9" t="s">
        <v>1</v>
      </c>
      <c r="E8" s="9" t="s">
        <v>2</v>
      </c>
      <c r="F8" s="9" t="s">
        <v>3</v>
      </c>
      <c r="G8" s="9" t="s">
        <v>4</v>
      </c>
      <c r="H8" s="9" t="s">
        <v>5</v>
      </c>
      <c r="I8" s="9" t="s">
        <v>6</v>
      </c>
      <c r="J8" s="7"/>
      <c r="K8" s="47" t="s">
        <v>45</v>
      </c>
      <c r="L8" s="47"/>
      <c r="M8" s="9" t="s">
        <v>1</v>
      </c>
      <c r="N8" s="9" t="s">
        <v>2</v>
      </c>
      <c r="O8" s="9" t="s">
        <v>3</v>
      </c>
      <c r="P8" s="9" t="s">
        <v>4</v>
      </c>
      <c r="Q8" s="9" t="s">
        <v>5</v>
      </c>
      <c r="R8" s="9" t="s">
        <v>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</row>
    <row r="9" spans="2:37" x14ac:dyDescent="0.35">
      <c r="B9" s="5"/>
      <c r="C9" s="7" t="s">
        <v>50</v>
      </c>
      <c r="D9" s="7">
        <v>1</v>
      </c>
      <c r="E9" s="7">
        <f>$D10/E10</f>
        <v>1.7864671020857688</v>
      </c>
      <c r="F9" s="7">
        <f t="shared" ref="F9:I9" si="0">$D10/F10</f>
        <v>2.4451858029839681</v>
      </c>
      <c r="G9" s="7">
        <f t="shared" si="0"/>
        <v>2.7396188801749854</v>
      </c>
      <c r="H9" s="7">
        <f t="shared" si="0"/>
        <v>3.599792629242915</v>
      </c>
      <c r="I9" s="7">
        <f t="shared" si="0"/>
        <v>3.6148836869457206</v>
      </c>
      <c r="J9" s="7"/>
      <c r="K9" s="48" t="s">
        <v>54</v>
      </c>
      <c r="L9" s="48"/>
      <c r="M9" s="7">
        <f t="shared" ref="M9:R9" si="1">(D9+D12+D15+D18)/4</f>
        <v>1</v>
      </c>
      <c r="N9" s="7">
        <f t="shared" si="1"/>
        <v>2.1234633264724834</v>
      </c>
      <c r="O9" s="7">
        <f t="shared" si="1"/>
        <v>3.7313138438317823</v>
      </c>
      <c r="P9" s="7">
        <f t="shared" si="1"/>
        <v>5.8445083797852018</v>
      </c>
      <c r="Q9" s="7">
        <f t="shared" si="1"/>
        <v>6.106218619115289</v>
      </c>
      <c r="R9" s="7">
        <f t="shared" si="1"/>
        <v>8.760569163364309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</row>
    <row r="10" spans="2:37" x14ac:dyDescent="0.35">
      <c r="B10" s="5"/>
      <c r="C10" s="7" t="s">
        <v>46</v>
      </c>
      <c r="D10" s="7">
        <f>'Información completa'!E35</f>
        <v>395790</v>
      </c>
      <c r="E10" s="7">
        <f>'Información completa'!F35</f>
        <v>221549</v>
      </c>
      <c r="F10" s="7">
        <f>'Información completa'!G35</f>
        <v>161865</v>
      </c>
      <c r="G10" s="7">
        <f>'Información completa'!H35</f>
        <v>144469</v>
      </c>
      <c r="H10" s="7">
        <f>'Información completa'!I35</f>
        <v>109948</v>
      </c>
      <c r="I10" s="7">
        <f>'Información completa'!J35</f>
        <v>109489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2:37" x14ac:dyDescent="0.35">
      <c r="B11" s="5"/>
      <c r="C11" s="9" t="s">
        <v>45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2:37" x14ac:dyDescent="0.35">
      <c r="B12" s="5"/>
      <c r="C12" s="7" t="s">
        <v>51</v>
      </c>
      <c r="D12" s="7">
        <v>1</v>
      </c>
      <c r="E12" s="7">
        <f>$D13/E13</f>
        <v>1.9726805090686492</v>
      </c>
      <c r="F12" s="7">
        <f t="shared" ref="F12:I12" si="2">$D13/F13</f>
        <v>3.3640604648757475</v>
      </c>
      <c r="G12" s="7">
        <f t="shared" si="2"/>
        <v>5.1827766125386319</v>
      </c>
      <c r="H12" s="7">
        <f t="shared" si="2"/>
        <v>6.3655450519541406</v>
      </c>
      <c r="I12" s="7">
        <f t="shared" si="2"/>
        <v>10.191969393332119</v>
      </c>
      <c r="J12" s="7"/>
      <c r="K12" s="7"/>
      <c r="L12" s="7"/>
      <c r="M12" s="7"/>
      <c r="N12" s="7"/>
      <c r="O12" s="4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2:37" x14ac:dyDescent="0.35">
      <c r="B13" s="5"/>
      <c r="C13" s="7" t="s">
        <v>47</v>
      </c>
      <c r="D13" s="7">
        <f>'Información completa'!M35</f>
        <v>2797186</v>
      </c>
      <c r="E13" s="7">
        <f>'Información completa'!N35</f>
        <v>1417962</v>
      </c>
      <c r="F13" s="7">
        <f>'Información completa'!O35</f>
        <v>831491</v>
      </c>
      <c r="G13" s="7">
        <f>'Información completa'!P35</f>
        <v>539708</v>
      </c>
      <c r="H13" s="7">
        <f>'Información completa'!Q35</f>
        <v>439426</v>
      </c>
      <c r="I13" s="7">
        <f>'Información completa'!R35</f>
        <v>274450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2:37" x14ac:dyDescent="0.35">
      <c r="B14" s="5"/>
      <c r="C14" s="9" t="s">
        <v>45</v>
      </c>
      <c r="D14" s="9" t="s">
        <v>1</v>
      </c>
      <c r="E14" s="9" t="s">
        <v>2</v>
      </c>
      <c r="F14" s="9" t="s">
        <v>3</v>
      </c>
      <c r="G14" s="9" t="s">
        <v>4</v>
      </c>
      <c r="H14" s="9" t="s">
        <v>5</v>
      </c>
      <c r="I14" s="9" t="s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2:37" x14ac:dyDescent="0.35">
      <c r="B15" s="5"/>
      <c r="C15" s="7" t="s">
        <v>52</v>
      </c>
      <c r="D15" s="7">
        <v>1</v>
      </c>
      <c r="E15" s="7">
        <f>$D16/E16</f>
        <v>1.9050011538935621</v>
      </c>
      <c r="F15" s="7">
        <f t="shared" ref="F15" si="3">$D16/F16</f>
        <v>3.6542831952795809</v>
      </c>
      <c r="G15" s="7">
        <f t="shared" ref="G15" si="4">$D16/G16</f>
        <v>6.1977887337139412</v>
      </c>
      <c r="H15" s="7">
        <f t="shared" ref="H15" si="5">$D16/H16</f>
        <v>5.8976425068371023</v>
      </c>
      <c r="I15" s="7">
        <f t="shared" ref="I15" si="6">$D16/I16</f>
        <v>8.8050572792792217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2:37" x14ac:dyDescent="0.35">
      <c r="B16" s="5"/>
      <c r="C16" s="7" t="s">
        <v>48</v>
      </c>
      <c r="D16" s="7">
        <f>'Información completa'!U35</f>
        <v>33274558</v>
      </c>
      <c r="E16" s="7">
        <f>'Información completa'!V35</f>
        <v>17466949</v>
      </c>
      <c r="F16" s="7">
        <f>'Información completa'!W35</f>
        <v>9105632</v>
      </c>
      <c r="G16" s="7">
        <f>'Información completa'!X35</f>
        <v>5368779</v>
      </c>
      <c r="H16" s="7">
        <f>'Información completa'!Y35</f>
        <v>5642010</v>
      </c>
      <c r="I16" s="7">
        <f>'Información completa'!Z35</f>
        <v>3779028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 x14ac:dyDescent="0.35">
      <c r="B17" s="5"/>
      <c r="C17" s="9" t="s">
        <v>45</v>
      </c>
      <c r="D17" s="9" t="s">
        <v>1</v>
      </c>
      <c r="E17" s="9" t="s">
        <v>2</v>
      </c>
      <c r="F17" s="9" t="s">
        <v>3</v>
      </c>
      <c r="G17" s="9" t="s">
        <v>4</v>
      </c>
      <c r="H17" s="9" t="s">
        <v>5</v>
      </c>
      <c r="I17" s="9" t="s">
        <v>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 x14ac:dyDescent="0.35">
      <c r="B18" s="5"/>
      <c r="C18" s="7" t="s">
        <v>53</v>
      </c>
      <c r="D18" s="7">
        <v>1</v>
      </c>
      <c r="E18" s="7">
        <f>$D19/E19</f>
        <v>2.8297045408419526</v>
      </c>
      <c r="F18" s="7">
        <f t="shared" ref="F18" si="7">$D19/F19</f>
        <v>5.4617259121878332</v>
      </c>
      <c r="G18" s="7">
        <f t="shared" ref="G18" si="8">$D19/G19</f>
        <v>9.2578492927132476</v>
      </c>
      <c r="H18" s="7">
        <f t="shared" ref="H18" si="9">$D19/H19</f>
        <v>8.5618942884269966</v>
      </c>
      <c r="I18" s="7">
        <f t="shared" ref="I18" si="10">$D19/I19</f>
        <v>12.430366293900175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 x14ac:dyDescent="0.35">
      <c r="B19" s="5"/>
      <c r="C19" s="7" t="s">
        <v>49</v>
      </c>
      <c r="D19" s="7">
        <f>'Información completa'!AC35</f>
        <v>534112516</v>
      </c>
      <c r="E19" s="7">
        <f>'Información completa'!AD35</f>
        <v>188752044</v>
      </c>
      <c r="F19" s="7">
        <f>'Información completa'!AE35</f>
        <v>97791893</v>
      </c>
      <c r="G19" s="7">
        <f>'Información completa'!AF35</f>
        <v>57692937</v>
      </c>
      <c r="H19" s="7">
        <f>'Información completa'!AG35</f>
        <v>62382517</v>
      </c>
      <c r="I19" s="7">
        <f>'Información completa'!AH35</f>
        <v>42968365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 x14ac:dyDescent="0.35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 x14ac:dyDescent="0.35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 x14ac:dyDescent="0.35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 x14ac:dyDescent="0.35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 x14ac:dyDescent="0.35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 x14ac:dyDescent="0.3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 x14ac:dyDescent="0.35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 x14ac:dyDescent="0.3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 x14ac:dyDescent="0.3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 x14ac:dyDescent="0.35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 x14ac:dyDescent="0.35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 x14ac:dyDescent="0.3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 x14ac:dyDescent="0.35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 x14ac:dyDescent="0.35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 x14ac:dyDescent="0.35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 x14ac:dyDescent="0.35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 x14ac:dyDescent="0.35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 x14ac:dyDescent="0.3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 x14ac:dyDescent="0.35"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 x14ac:dyDescent="0.35"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 x14ac:dyDescent="0.35"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 x14ac:dyDescent="0.35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 x14ac:dyDescent="0.35"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 x14ac:dyDescent="0.3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 x14ac:dyDescent="0.35"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 x14ac:dyDescent="0.35"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 x14ac:dyDescent="0.35"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 x14ac:dyDescent="0.35"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 x14ac:dyDescent="0.35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 x14ac:dyDescent="0.35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 x14ac:dyDescent="0.35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 x14ac:dyDescent="0.35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 x14ac:dyDescent="0.35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 x14ac:dyDescent="0.35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 x14ac:dyDescent="0.35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 x14ac:dyDescent="0.35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 x14ac:dyDescent="0.35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 x14ac:dyDescent="0.35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 x14ac:dyDescent="0.35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 x14ac:dyDescent="0.35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</row>
    <row r="60" spans="2:37" x14ac:dyDescent="0.35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</row>
    <row r="61" spans="2:37" x14ac:dyDescent="0.35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</row>
    <row r="62" spans="2:37" x14ac:dyDescent="0.35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</row>
    <row r="63" spans="2:37" x14ac:dyDescent="0.35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</row>
    <row r="64" spans="2:37" x14ac:dyDescent="0.35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</row>
    <row r="65" spans="2:37" x14ac:dyDescent="0.35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</row>
    <row r="66" spans="2:37" x14ac:dyDescent="0.35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</row>
    <row r="67" spans="2:37" x14ac:dyDescent="0.35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</row>
    <row r="68" spans="2:37" x14ac:dyDescent="0.35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</row>
    <row r="69" spans="2:37" x14ac:dyDescent="0.35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</row>
    <row r="70" spans="2:37" ht="28.5" customHeight="1" thickBot="1" x14ac:dyDescent="0.4"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2"/>
    </row>
    <row r="73" spans="2:37" ht="15" thickBot="1" x14ac:dyDescent="0.4"/>
    <row r="74" spans="2:37" x14ac:dyDescent="0.35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2:37" ht="37" x14ac:dyDescent="0.85">
      <c r="B75" s="5"/>
      <c r="C75" s="6" t="s">
        <v>41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</row>
    <row r="76" spans="2:37" x14ac:dyDescent="0.35">
      <c r="B76" s="5"/>
      <c r="C76" s="9" t="s">
        <v>45</v>
      </c>
      <c r="D76" s="9" t="s">
        <v>1</v>
      </c>
      <c r="E76" s="9" t="s">
        <v>2</v>
      </c>
      <c r="F76" s="9" t="s">
        <v>3</v>
      </c>
      <c r="G76" s="9" t="s">
        <v>4</v>
      </c>
      <c r="H76" s="9" t="s">
        <v>5</v>
      </c>
      <c r="I76" s="9" t="s">
        <v>6</v>
      </c>
      <c r="J76" s="7"/>
      <c r="K76" s="47" t="s">
        <v>45</v>
      </c>
      <c r="L76" s="47"/>
      <c r="M76" s="9" t="s">
        <v>1</v>
      </c>
      <c r="N76" s="9" t="s">
        <v>2</v>
      </c>
      <c r="O76" s="9" t="s">
        <v>3</v>
      </c>
      <c r="P76" s="9" t="s">
        <v>4</v>
      </c>
      <c r="Q76" s="9" t="s">
        <v>5</v>
      </c>
      <c r="R76" s="9" t="s">
        <v>6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</row>
    <row r="77" spans="2:37" x14ac:dyDescent="0.35">
      <c r="B77" s="5"/>
      <c r="C77" s="7" t="s">
        <v>50</v>
      </c>
      <c r="D77" s="7">
        <v>1</v>
      </c>
      <c r="E77" s="7">
        <f>$D78/E78</f>
        <v>1.5890560847001938</v>
      </c>
      <c r="F77" s="7">
        <f t="shared" ref="F77" si="11">$D78/F78</f>
        <v>2.0582979010595936</v>
      </c>
      <c r="G77" s="7">
        <f t="shared" ref="G77" si="12">$D78/G78</f>
        <v>2.8302121420219382</v>
      </c>
      <c r="H77" s="7">
        <f t="shared" ref="H77" si="13">$D78/H78</f>
        <v>2.9325935612908189</v>
      </c>
      <c r="I77" s="7">
        <f t="shared" ref="I77" si="14">$D78/I78</f>
        <v>6.1846609344581438</v>
      </c>
      <c r="J77" s="7"/>
      <c r="K77" s="48" t="s">
        <v>54</v>
      </c>
      <c r="L77" s="48"/>
      <c r="M77" s="7">
        <f t="shared" ref="M77:R77" si="15">(D77+D80+D83+D86)/4</f>
        <v>1</v>
      </c>
      <c r="N77" s="7">
        <f t="shared" si="15"/>
        <v>2.1585806030822967</v>
      </c>
      <c r="O77" s="7">
        <f t="shared" si="15"/>
        <v>3.956293943228812</v>
      </c>
      <c r="P77" s="7">
        <f t="shared" si="15"/>
        <v>6.0227274816677348</v>
      </c>
      <c r="Q77" s="7">
        <f t="shared" si="15"/>
        <v>6.4313055494700224</v>
      </c>
      <c r="R77" s="7">
        <f t="shared" si="15"/>
        <v>8.7900203862150761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</row>
    <row r="78" spans="2:37" x14ac:dyDescent="0.35">
      <c r="B78" s="5"/>
      <c r="C78" s="7" t="s">
        <v>46</v>
      </c>
      <c r="D78" s="7">
        <f>'Información completa'!E71</f>
        <v>152489</v>
      </c>
      <c r="E78" s="7">
        <f>'Información completa'!F71</f>
        <v>95962</v>
      </c>
      <c r="F78" s="7">
        <f>'Información completa'!G71</f>
        <v>74085</v>
      </c>
      <c r="G78" s="7">
        <f>'Información completa'!H71</f>
        <v>53879</v>
      </c>
      <c r="H78" s="7">
        <f>'Información completa'!I71</f>
        <v>51998</v>
      </c>
      <c r="I78" s="7">
        <f>'Información completa'!J71</f>
        <v>24656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</row>
    <row r="79" spans="2:37" x14ac:dyDescent="0.35">
      <c r="B79" s="5"/>
      <c r="C79" s="9" t="s">
        <v>45</v>
      </c>
      <c r="D79" s="9" t="s">
        <v>1</v>
      </c>
      <c r="E79" s="9" t="s">
        <v>2</v>
      </c>
      <c r="F79" s="9" t="s">
        <v>3</v>
      </c>
      <c r="G79" s="9" t="s">
        <v>4</v>
      </c>
      <c r="H79" s="9" t="s">
        <v>5</v>
      </c>
      <c r="I79" s="9" t="s">
        <v>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</row>
    <row r="80" spans="2:37" x14ac:dyDescent="0.35">
      <c r="B80" s="5"/>
      <c r="C80" s="7" t="s">
        <v>51</v>
      </c>
      <c r="D80" s="7">
        <v>1</v>
      </c>
      <c r="E80" s="7">
        <f>$D81/E81</f>
        <v>1.8089362276451022</v>
      </c>
      <c r="F80" s="7">
        <f t="shared" ref="F80" si="16">$D81/F81</f>
        <v>3.216904983445505</v>
      </c>
      <c r="G80" s="7">
        <f t="shared" ref="G80" si="17">$D81/G81</f>
        <v>4.4428036907875619</v>
      </c>
      <c r="H80" s="7">
        <f t="shared" ref="H80" si="18">$D81/H81</f>
        <v>5.540271800679502</v>
      </c>
      <c r="I80" s="7">
        <f>$D81/I81</f>
        <v>4.9700399264459367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</row>
    <row r="81" spans="2:37" x14ac:dyDescent="0.35">
      <c r="B81" s="5"/>
      <c r="C81" s="7" t="s">
        <v>47</v>
      </c>
      <c r="D81" s="7">
        <f>'Información completa'!M71</f>
        <v>978412</v>
      </c>
      <c r="E81" s="7">
        <f>'Información completa'!N71</f>
        <v>540877</v>
      </c>
      <c r="F81" s="7">
        <f>'Información completa'!O71</f>
        <v>304147</v>
      </c>
      <c r="G81" s="7">
        <f>'Información completa'!P71</f>
        <v>220224</v>
      </c>
      <c r="H81" s="7">
        <f>'Información completa'!Q71</f>
        <v>176600</v>
      </c>
      <c r="I81" s="7">
        <f>'Información completa'!R71</f>
        <v>196862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</row>
    <row r="82" spans="2:37" x14ac:dyDescent="0.35">
      <c r="B82" s="5"/>
      <c r="C82" s="9" t="s">
        <v>45</v>
      </c>
      <c r="D82" s="9" t="s">
        <v>1</v>
      </c>
      <c r="E82" s="9" t="s">
        <v>2</v>
      </c>
      <c r="F82" s="9" t="s">
        <v>3</v>
      </c>
      <c r="G82" s="9" t="s">
        <v>4</v>
      </c>
      <c r="H82" s="9" t="s">
        <v>5</v>
      </c>
      <c r="I82" s="9" t="s">
        <v>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</row>
    <row r="83" spans="2:37" x14ac:dyDescent="0.35">
      <c r="B83" s="5"/>
      <c r="C83" s="7" t="s">
        <v>52</v>
      </c>
      <c r="D83" s="7">
        <v>1</v>
      </c>
      <c r="E83" s="7">
        <f>$D84/E84</f>
        <v>1.6864133804466173</v>
      </c>
      <c r="F83" s="7">
        <f t="shared" ref="F83" si="19">$D84/F84</f>
        <v>3.5155039830596198</v>
      </c>
      <c r="G83" s="7">
        <f t="shared" ref="G83" si="20">$D84/G84</f>
        <v>5.8819507590126321</v>
      </c>
      <c r="H83" s="7">
        <f t="shared" ref="H83" si="21">$D84/H84</f>
        <v>5.765392447825711</v>
      </c>
      <c r="I83" s="7">
        <f>$D84/I84</f>
        <v>7.1296785242992904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</row>
    <row r="84" spans="2:37" x14ac:dyDescent="0.35">
      <c r="B84" s="5"/>
      <c r="C84" s="7" t="s">
        <v>48</v>
      </c>
      <c r="D84" s="7">
        <f>'Información completa'!U71</f>
        <v>26592717</v>
      </c>
      <c r="E84" s="7">
        <f>'Información completa'!V71</f>
        <v>15768801</v>
      </c>
      <c r="F84" s="7">
        <f>'Información completa'!W71</f>
        <v>7564411</v>
      </c>
      <c r="G84" s="7">
        <f>'Información completa'!X71</f>
        <v>4521071</v>
      </c>
      <c r="H84" s="7">
        <f>'Información completa'!Y71</f>
        <v>4612473</v>
      </c>
      <c r="I84" s="7">
        <f>'Información completa'!Z71</f>
        <v>3729862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</row>
    <row r="85" spans="2:37" x14ac:dyDescent="0.35">
      <c r="B85" s="5"/>
      <c r="C85" s="9" t="s">
        <v>45</v>
      </c>
      <c r="D85" s="9" t="s">
        <v>1</v>
      </c>
      <c r="E85" s="9" t="s">
        <v>2</v>
      </c>
      <c r="F85" s="9" t="s">
        <v>3</v>
      </c>
      <c r="G85" s="9" t="s">
        <v>4</v>
      </c>
      <c r="H85" s="9" t="s">
        <v>5</v>
      </c>
      <c r="I85" s="9" t="s">
        <v>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</row>
    <row r="86" spans="2:37" x14ac:dyDescent="0.35">
      <c r="B86" s="5"/>
      <c r="C86" s="7" t="s">
        <v>53</v>
      </c>
      <c r="D86" s="7">
        <v>1</v>
      </c>
      <c r="E86" s="7">
        <f>$D87/E87</f>
        <v>3.5499167195372738</v>
      </c>
      <c r="F86" s="7">
        <f t="shared" ref="F86" si="22">$D87/F87</f>
        <v>7.03446890535053</v>
      </c>
      <c r="G86" s="7">
        <f t="shared" ref="G86" si="23">$D87/G87</f>
        <v>10.935943334848808</v>
      </c>
      <c r="H86" s="7">
        <f t="shared" ref="H86" si="24">$D87/H87</f>
        <v>11.486964388084058</v>
      </c>
      <c r="I86" s="7">
        <f>$D87/I87</f>
        <v>16.875702159656928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</row>
    <row r="87" spans="2:37" x14ac:dyDescent="0.35">
      <c r="B87" s="5"/>
      <c r="C87" s="7" t="s">
        <v>49</v>
      </c>
      <c r="D87" s="7">
        <f>'Información completa'!AC71</f>
        <v>721473512</v>
      </c>
      <c r="E87" s="7">
        <f>'Información completa'!AD71</f>
        <v>203236743</v>
      </c>
      <c r="F87" s="7">
        <f>'Información completa'!AE71</f>
        <v>102562613</v>
      </c>
      <c r="G87" s="7">
        <f>'Información completa'!AF71</f>
        <v>65972682</v>
      </c>
      <c r="H87" s="7">
        <f>'Información completa'!AG71</f>
        <v>62808022</v>
      </c>
      <c r="I87" s="7">
        <f>'Información completa'!AH71</f>
        <v>42752207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</row>
    <row r="88" spans="2:37" x14ac:dyDescent="0.35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</row>
    <row r="89" spans="2:37" x14ac:dyDescent="0.35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</row>
    <row r="90" spans="2:37" x14ac:dyDescent="0.35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</row>
    <row r="91" spans="2:37" x14ac:dyDescent="0.35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</row>
    <row r="92" spans="2:37" x14ac:dyDescent="0.35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</row>
    <row r="93" spans="2:37" x14ac:dyDescent="0.35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</row>
    <row r="94" spans="2:37" x14ac:dyDescent="0.35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</row>
    <row r="95" spans="2:37" x14ac:dyDescent="0.35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</row>
    <row r="96" spans="2:37" x14ac:dyDescent="0.35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</row>
    <row r="97" spans="2:37" x14ac:dyDescent="0.35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</row>
    <row r="98" spans="2:37" x14ac:dyDescent="0.35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</row>
    <row r="99" spans="2:37" x14ac:dyDescent="0.35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</row>
    <row r="100" spans="2:37" x14ac:dyDescent="0.35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</row>
    <row r="101" spans="2:37" x14ac:dyDescent="0.35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</row>
    <row r="102" spans="2:37" x14ac:dyDescent="0.35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</row>
    <row r="103" spans="2:37" x14ac:dyDescent="0.35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</row>
    <row r="104" spans="2:37" x14ac:dyDescent="0.35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</row>
    <row r="105" spans="2:37" x14ac:dyDescent="0.35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</row>
    <row r="106" spans="2:37" x14ac:dyDescent="0.35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</row>
    <row r="107" spans="2:37" x14ac:dyDescent="0.35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</row>
    <row r="108" spans="2:37" x14ac:dyDescent="0.35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</row>
    <row r="109" spans="2:37" x14ac:dyDescent="0.35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</row>
    <row r="110" spans="2:37" x14ac:dyDescent="0.35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</row>
    <row r="111" spans="2:37" x14ac:dyDescent="0.35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</row>
    <row r="112" spans="2:37" x14ac:dyDescent="0.35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</row>
    <row r="113" spans="2:37" x14ac:dyDescent="0.35"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</row>
    <row r="114" spans="2:37" x14ac:dyDescent="0.35"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</row>
    <row r="115" spans="2:37" x14ac:dyDescent="0.35"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</row>
    <row r="116" spans="2:37" x14ac:dyDescent="0.35"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</row>
    <row r="117" spans="2:37" x14ac:dyDescent="0.35"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</row>
    <row r="118" spans="2:37" x14ac:dyDescent="0.35"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</row>
    <row r="119" spans="2:37" x14ac:dyDescent="0.35"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</row>
    <row r="120" spans="2:37" x14ac:dyDescent="0.35"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</row>
    <row r="121" spans="2:37" x14ac:dyDescent="0.35"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</row>
    <row r="122" spans="2:37" x14ac:dyDescent="0.35"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2:37" x14ac:dyDescent="0.35"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</row>
    <row r="124" spans="2:37" x14ac:dyDescent="0.35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</row>
    <row r="125" spans="2:37" x14ac:dyDescent="0.35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</row>
    <row r="126" spans="2:37" x14ac:dyDescent="0.35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</row>
    <row r="127" spans="2:37" x14ac:dyDescent="0.35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</row>
    <row r="128" spans="2:37" x14ac:dyDescent="0.35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8"/>
    </row>
    <row r="129" spans="2:37" x14ac:dyDescent="0.35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</row>
    <row r="130" spans="2:37" x14ac:dyDescent="0.35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</row>
    <row r="131" spans="2:37" x14ac:dyDescent="0.35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</row>
    <row r="132" spans="2:37" x14ac:dyDescent="0.35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</row>
    <row r="133" spans="2:37" x14ac:dyDescent="0.35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</row>
    <row r="134" spans="2:37" x14ac:dyDescent="0.35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</row>
    <row r="135" spans="2:37" x14ac:dyDescent="0.35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</row>
    <row r="136" spans="2:37" x14ac:dyDescent="0.35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</row>
    <row r="137" spans="2:37" x14ac:dyDescent="0.35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</row>
    <row r="138" spans="2:37" ht="29" customHeight="1" thickBot="1" x14ac:dyDescent="0.4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/>
    </row>
    <row r="141" spans="2:37" ht="15" thickBot="1" x14ac:dyDescent="0.4"/>
    <row r="142" spans="2:37" x14ac:dyDescent="0.35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2:37" ht="37" x14ac:dyDescent="0.85">
      <c r="B143" s="5"/>
      <c r="C143" s="6" t="s">
        <v>42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</row>
    <row r="144" spans="2:37" x14ac:dyDescent="0.35">
      <c r="B144" s="5"/>
      <c r="C144" s="9" t="s">
        <v>45</v>
      </c>
      <c r="D144" s="9" t="s">
        <v>1</v>
      </c>
      <c r="E144" s="9" t="s">
        <v>2</v>
      </c>
      <c r="F144" s="9" t="s">
        <v>3</v>
      </c>
      <c r="G144" s="9" t="s">
        <v>4</v>
      </c>
      <c r="H144" s="9" t="s">
        <v>5</v>
      </c>
      <c r="I144" s="9" t="s">
        <v>6</v>
      </c>
      <c r="J144" s="7"/>
      <c r="K144" s="47" t="s">
        <v>45</v>
      </c>
      <c r="L144" s="47"/>
      <c r="M144" s="9" t="s">
        <v>1</v>
      </c>
      <c r="N144" s="9" t="s">
        <v>2</v>
      </c>
      <c r="O144" s="9" t="s">
        <v>3</v>
      </c>
      <c r="P144" s="9" t="s">
        <v>4</v>
      </c>
      <c r="Q144" s="9" t="s">
        <v>5</v>
      </c>
      <c r="R144" s="9" t="s">
        <v>6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</row>
    <row r="145" spans="2:37" x14ac:dyDescent="0.35">
      <c r="B145" s="5"/>
      <c r="C145" s="7" t="s">
        <v>50</v>
      </c>
      <c r="D145" s="7">
        <v>1</v>
      </c>
      <c r="E145" s="7">
        <f>$D146/E146</f>
        <v>1.6412321918266337</v>
      </c>
      <c r="F145" s="7">
        <f t="shared" ref="F145" si="25">$D146/F146</f>
        <v>2.1959471552900642</v>
      </c>
      <c r="G145" s="7">
        <f t="shared" ref="G145" si="26">$D146/G146</f>
        <v>2.5992849812969645</v>
      </c>
      <c r="H145" s="7">
        <f t="shared" ref="H145" si="27">$D146/H146</f>
        <v>3.0551089806939591</v>
      </c>
      <c r="I145" s="7">
        <f t="shared" ref="I145" si="28">$D146/I146</f>
        <v>5.4141017154834792</v>
      </c>
      <c r="J145" s="7"/>
      <c r="K145" s="48" t="s">
        <v>54</v>
      </c>
      <c r="L145" s="48"/>
      <c r="M145" s="7">
        <f t="shared" ref="M145:R145" si="29">(D145+D148+D151+D154)/4</f>
        <v>1</v>
      </c>
      <c r="N145" s="7">
        <f t="shared" si="29"/>
        <v>2.0800146479964767</v>
      </c>
      <c r="O145" s="7">
        <f t="shared" si="29"/>
        <v>3.6504916962933063</v>
      </c>
      <c r="P145" s="7">
        <f t="shared" si="29"/>
        <v>5.8322565759685965</v>
      </c>
      <c r="Q145" s="7">
        <f t="shared" si="29"/>
        <v>5.9361241317778237</v>
      </c>
      <c r="R145" s="7">
        <f t="shared" si="29"/>
        <v>9.472732194690348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</row>
    <row r="146" spans="2:37" x14ac:dyDescent="0.35">
      <c r="B146" s="5"/>
      <c r="C146" s="7" t="s">
        <v>46</v>
      </c>
      <c r="D146" s="7">
        <f>'Información completa'!E107</f>
        <v>392609</v>
      </c>
      <c r="E146" s="7">
        <f>'Información completa'!F107</f>
        <v>239216</v>
      </c>
      <c r="F146" s="7">
        <f>'Información completa'!G107</f>
        <v>178788</v>
      </c>
      <c r="G146" s="7">
        <f>'Información completa'!H107</f>
        <v>151045</v>
      </c>
      <c r="H146" s="7">
        <f>'Información completa'!I107</f>
        <v>128509</v>
      </c>
      <c r="I146" s="7">
        <f>'Información completa'!J107</f>
        <v>72516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</row>
    <row r="147" spans="2:37" x14ac:dyDescent="0.35">
      <c r="B147" s="5"/>
      <c r="C147" s="9" t="s">
        <v>45</v>
      </c>
      <c r="D147" s="9" t="s">
        <v>1</v>
      </c>
      <c r="E147" s="9" t="s">
        <v>2</v>
      </c>
      <c r="F147" s="9" t="s">
        <v>3</v>
      </c>
      <c r="G147" s="9" t="s">
        <v>4</v>
      </c>
      <c r="H147" s="9" t="s">
        <v>5</v>
      </c>
      <c r="I147" s="9" t="s">
        <v>6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</row>
    <row r="148" spans="2:37" x14ac:dyDescent="0.35">
      <c r="B148" s="5"/>
      <c r="C148" s="7" t="s">
        <v>51</v>
      </c>
      <c r="D148" s="7">
        <v>1</v>
      </c>
      <c r="E148" s="7">
        <f>$D149/E149</f>
        <v>1.9816271316192573</v>
      </c>
      <c r="F148" s="7">
        <f t="shared" ref="F148" si="30">$D149/F149</f>
        <v>3.4168588608627672</v>
      </c>
      <c r="G148" s="7">
        <f t="shared" ref="G148" si="31">$D149/G149</f>
        <v>5.5089545499165604</v>
      </c>
      <c r="H148" s="7">
        <f t="shared" ref="H148" si="32">$D149/H149</f>
        <v>6.4519219051429388</v>
      </c>
      <c r="I148" s="7">
        <f>$D149/I149</f>
        <v>10.993562895952421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</row>
    <row r="149" spans="2:37" x14ac:dyDescent="0.35">
      <c r="B149" s="5"/>
      <c r="C149" s="7" t="s">
        <v>47</v>
      </c>
      <c r="D149" s="7">
        <f>'Información completa'!M107</f>
        <v>2805986</v>
      </c>
      <c r="E149" s="7">
        <f>'Información completa'!N107</f>
        <v>1416001</v>
      </c>
      <c r="F149" s="7">
        <f>'Información completa'!O107</f>
        <v>821218</v>
      </c>
      <c r="G149" s="7">
        <f>'Información completa'!P107</f>
        <v>509350</v>
      </c>
      <c r="H149" s="7">
        <f>'Información completa'!Q107</f>
        <v>434907</v>
      </c>
      <c r="I149" s="7">
        <f>'Información completa'!R107</f>
        <v>255239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</row>
    <row r="150" spans="2:37" x14ac:dyDescent="0.35">
      <c r="B150" s="5"/>
      <c r="C150" s="9" t="s">
        <v>45</v>
      </c>
      <c r="D150" s="9" t="s">
        <v>1</v>
      </c>
      <c r="E150" s="9" t="s">
        <v>2</v>
      </c>
      <c r="F150" s="9" t="s">
        <v>3</v>
      </c>
      <c r="G150" s="9" t="s">
        <v>4</v>
      </c>
      <c r="H150" s="9" t="s">
        <v>5</v>
      </c>
      <c r="I150" s="9" t="s">
        <v>6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</row>
    <row r="151" spans="2:37" x14ac:dyDescent="0.35">
      <c r="B151" s="5"/>
      <c r="C151" s="7" t="s">
        <v>52</v>
      </c>
      <c r="D151" s="7">
        <v>1</v>
      </c>
      <c r="E151" s="7">
        <f>$D152/E152</f>
        <v>1.8391275713828235</v>
      </c>
      <c r="F151" s="7">
        <f t="shared" ref="F151" si="33">$D152/F152</f>
        <v>3.4408668436509133</v>
      </c>
      <c r="G151" s="7">
        <f t="shared" ref="G151" si="34">$D152/G152</f>
        <v>5.8830262138237313</v>
      </c>
      <c r="H151" s="7">
        <f t="shared" ref="H151" si="35">$D152/H152</f>
        <v>5.5842941083897841</v>
      </c>
      <c r="I151" s="7">
        <f>$D152/I152</f>
        <v>8.5511257036917296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</row>
    <row r="152" spans="2:37" x14ac:dyDescent="0.35">
      <c r="B152" s="5"/>
      <c r="C152" s="7" t="s">
        <v>48</v>
      </c>
      <c r="D152" s="7">
        <f>'Información completa'!U107</f>
        <v>31581026</v>
      </c>
      <c r="E152" s="7">
        <f>'Información completa'!V107</f>
        <v>17171743</v>
      </c>
      <c r="F152" s="7">
        <f>'Información completa'!W107</f>
        <v>9178218</v>
      </c>
      <c r="G152" s="7">
        <f>'Información completa'!X107</f>
        <v>5368160</v>
      </c>
      <c r="H152" s="7">
        <f>'Información completa'!Y107</f>
        <v>5655330</v>
      </c>
      <c r="I152" s="7">
        <f>'Información completa'!Z107</f>
        <v>3693201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</row>
    <row r="153" spans="2:37" x14ac:dyDescent="0.35">
      <c r="B153" s="5"/>
      <c r="C153" s="9" t="s">
        <v>45</v>
      </c>
      <c r="D153" s="9" t="s">
        <v>1</v>
      </c>
      <c r="E153" s="9" t="s">
        <v>2</v>
      </c>
      <c r="F153" s="9" t="s">
        <v>3</v>
      </c>
      <c r="G153" s="9" t="s">
        <v>4</v>
      </c>
      <c r="H153" s="9" t="s">
        <v>5</v>
      </c>
      <c r="I153" s="9" t="s">
        <v>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</row>
    <row r="154" spans="2:37" x14ac:dyDescent="0.35">
      <c r="B154" s="5"/>
      <c r="C154" s="7" t="s">
        <v>53</v>
      </c>
      <c r="D154" s="7">
        <v>1</v>
      </c>
      <c r="E154" s="7">
        <f>$D155/E155</f>
        <v>2.8580716971571918</v>
      </c>
      <c r="F154" s="7">
        <f t="shared" ref="F154" si="36">$D155/F155</f>
        <v>5.5482939253694816</v>
      </c>
      <c r="G154" s="7">
        <f t="shared" ref="G154" si="37">$D155/G155</f>
        <v>9.3377605588371306</v>
      </c>
      <c r="H154" s="7">
        <f t="shared" ref="H154" si="38">$D155/H155</f>
        <v>8.6531715328846115</v>
      </c>
      <c r="I154" s="7">
        <f>$D155/I155</f>
        <v>12.932138463633759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</row>
    <row r="155" spans="2:37" x14ac:dyDescent="0.35">
      <c r="B155" s="5"/>
      <c r="C155" s="7" t="s">
        <v>49</v>
      </c>
      <c r="D155" s="7">
        <f>'Información completa'!AC107</f>
        <v>536677694</v>
      </c>
      <c r="E155" s="7">
        <f>'Información completa'!AD107</f>
        <v>187776148</v>
      </c>
      <c r="F155" s="7">
        <f>'Información completa'!AE107</f>
        <v>96728418</v>
      </c>
      <c r="G155" s="7">
        <f>'Información completa'!AF107</f>
        <v>57473919</v>
      </c>
      <c r="H155" s="7">
        <f>'Información completa'!AG107</f>
        <v>62020924</v>
      </c>
      <c r="I155" s="7">
        <f>'Información completa'!AH107</f>
        <v>41499532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</row>
    <row r="156" spans="2:37" x14ac:dyDescent="0.35"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</row>
    <row r="157" spans="2:37" x14ac:dyDescent="0.35"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</row>
    <row r="158" spans="2:37" x14ac:dyDescent="0.35"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</row>
    <row r="159" spans="2:37" x14ac:dyDescent="0.35"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</row>
    <row r="160" spans="2:37" x14ac:dyDescent="0.35"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</row>
    <row r="161" spans="2:37" x14ac:dyDescent="0.35"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</row>
    <row r="162" spans="2:37" x14ac:dyDescent="0.35"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</row>
    <row r="163" spans="2:37" x14ac:dyDescent="0.35"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</row>
    <row r="164" spans="2:37" x14ac:dyDescent="0.35"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</row>
    <row r="165" spans="2:37" x14ac:dyDescent="0.35"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</row>
    <row r="166" spans="2:37" x14ac:dyDescent="0.35"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</row>
    <row r="167" spans="2:37" x14ac:dyDescent="0.35"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</row>
    <row r="168" spans="2:37" x14ac:dyDescent="0.35"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</row>
    <row r="169" spans="2:37" x14ac:dyDescent="0.35"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</row>
    <row r="170" spans="2:37" x14ac:dyDescent="0.35"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</row>
    <row r="171" spans="2:37" x14ac:dyDescent="0.35"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</row>
    <row r="172" spans="2:37" x14ac:dyDescent="0.35"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</row>
    <row r="173" spans="2:37" x14ac:dyDescent="0.35"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</row>
    <row r="174" spans="2:37" x14ac:dyDescent="0.35"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</row>
    <row r="175" spans="2:37" x14ac:dyDescent="0.35"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</row>
    <row r="176" spans="2:37" x14ac:dyDescent="0.35"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</row>
    <row r="177" spans="2:37" x14ac:dyDescent="0.35"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</row>
    <row r="178" spans="2:37" x14ac:dyDescent="0.35"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</row>
    <row r="179" spans="2:37" x14ac:dyDescent="0.35"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</row>
    <row r="180" spans="2:37" x14ac:dyDescent="0.35"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</row>
    <row r="181" spans="2:37" x14ac:dyDescent="0.35"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</row>
    <row r="182" spans="2:37" x14ac:dyDescent="0.35"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</row>
    <row r="183" spans="2:37" x14ac:dyDescent="0.35"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</row>
    <row r="184" spans="2:37" x14ac:dyDescent="0.35"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</row>
    <row r="185" spans="2:37" x14ac:dyDescent="0.35"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</row>
    <row r="186" spans="2:37" x14ac:dyDescent="0.35"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</row>
    <row r="187" spans="2:37" x14ac:dyDescent="0.35"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</row>
    <row r="188" spans="2:37" x14ac:dyDescent="0.35"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</row>
    <row r="189" spans="2:37" x14ac:dyDescent="0.35"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</row>
    <row r="190" spans="2:37" x14ac:dyDescent="0.35"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</row>
    <row r="191" spans="2:37" x14ac:dyDescent="0.35"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</row>
    <row r="192" spans="2:37" x14ac:dyDescent="0.35"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</row>
    <row r="193" spans="2:37" x14ac:dyDescent="0.35"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</row>
    <row r="194" spans="2:37" x14ac:dyDescent="0.35"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</row>
    <row r="195" spans="2:37" x14ac:dyDescent="0.35"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</row>
    <row r="196" spans="2:37" x14ac:dyDescent="0.35"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</row>
    <row r="197" spans="2:37" x14ac:dyDescent="0.35"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</row>
    <row r="198" spans="2:37" x14ac:dyDescent="0.35"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</row>
    <row r="199" spans="2:37" x14ac:dyDescent="0.35"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</row>
    <row r="200" spans="2:37" x14ac:dyDescent="0.35"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</row>
    <row r="201" spans="2:37" x14ac:dyDescent="0.35"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</row>
    <row r="202" spans="2:37" x14ac:dyDescent="0.35"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</row>
    <row r="203" spans="2:37" x14ac:dyDescent="0.35"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</row>
    <row r="204" spans="2:37" x14ac:dyDescent="0.35"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</row>
    <row r="205" spans="2:37" x14ac:dyDescent="0.35"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</row>
    <row r="206" spans="2:37" ht="30.5" customHeight="1" thickBot="1" x14ac:dyDescent="0.4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</row>
    <row r="209" spans="2:37" ht="15" thickBot="1" x14ac:dyDescent="0.4"/>
    <row r="210" spans="2:37" x14ac:dyDescent="0.35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2:37" ht="37" x14ac:dyDescent="0.85">
      <c r="B211" s="5"/>
      <c r="C211" s="6" t="s">
        <v>43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</row>
    <row r="212" spans="2:37" x14ac:dyDescent="0.35">
      <c r="B212" s="5"/>
      <c r="C212" s="9" t="s">
        <v>45</v>
      </c>
      <c r="D212" s="9" t="s">
        <v>1</v>
      </c>
      <c r="E212" s="9" t="s">
        <v>2</v>
      </c>
      <c r="F212" s="9" t="s">
        <v>3</v>
      </c>
      <c r="G212" s="9" t="s">
        <v>4</v>
      </c>
      <c r="H212" s="9" t="s">
        <v>5</v>
      </c>
      <c r="I212" s="9" t="s">
        <v>6</v>
      </c>
      <c r="J212" s="7"/>
      <c r="K212" s="47" t="s">
        <v>45</v>
      </c>
      <c r="L212" s="47"/>
      <c r="M212" s="9" t="s">
        <v>1</v>
      </c>
      <c r="N212" s="9" t="s">
        <v>2</v>
      </c>
      <c r="O212" s="9" t="s">
        <v>3</v>
      </c>
      <c r="P212" s="9" t="s">
        <v>4</v>
      </c>
      <c r="Q212" s="9" t="s">
        <v>5</v>
      </c>
      <c r="R212" s="9" t="s">
        <v>6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</row>
    <row r="213" spans="2:37" x14ac:dyDescent="0.35">
      <c r="B213" s="5"/>
      <c r="C213" s="7" t="s">
        <v>50</v>
      </c>
      <c r="D213" s="7">
        <v>1</v>
      </c>
      <c r="E213" s="7">
        <f>$D214/E214</f>
        <v>1.5246381906603386</v>
      </c>
      <c r="F213" s="7">
        <f t="shared" ref="F213" si="39">$D214/F214</f>
        <v>1.9805303537721488</v>
      </c>
      <c r="G213" s="7">
        <f t="shared" ref="G213" si="40">$D214/G214</f>
        <v>2.7744487567705889</v>
      </c>
      <c r="H213" s="7">
        <f t="shared" ref="H213" si="41">$D214/H214</f>
        <v>3.858049402484951</v>
      </c>
      <c r="I213" s="7">
        <f t="shared" ref="I213" si="42">$D214/I214</f>
        <v>9.0640239654451715</v>
      </c>
      <c r="J213" s="7"/>
      <c r="K213" s="48" t="s">
        <v>54</v>
      </c>
      <c r="L213" s="48"/>
      <c r="M213" s="7">
        <f t="shared" ref="M213:R213" si="43">(D213+D216+D219+D222)/4</f>
        <v>1</v>
      </c>
      <c r="N213" s="7">
        <f t="shared" si="43"/>
        <v>1.8001090196726004</v>
      </c>
      <c r="O213" s="7">
        <f t="shared" si="43"/>
        <v>3.0407078812274384</v>
      </c>
      <c r="P213" s="7">
        <f t="shared" si="43"/>
        <v>4.3770839275974076</v>
      </c>
      <c r="Q213" s="7">
        <f t="shared" si="43"/>
        <v>5.2902765600636199</v>
      </c>
      <c r="R213" s="7">
        <f t="shared" si="43"/>
        <v>9.4101911720254368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</row>
    <row r="214" spans="2:37" x14ac:dyDescent="0.35">
      <c r="B214" s="5"/>
      <c r="C214" s="7" t="s">
        <v>46</v>
      </c>
      <c r="D214" s="7">
        <f>'Información completa'!E143</f>
        <v>130105</v>
      </c>
      <c r="E214" s="7">
        <f>'Información completa'!F143</f>
        <v>85335</v>
      </c>
      <c r="F214" s="7">
        <f>'Información completa'!G143</f>
        <v>65692</v>
      </c>
      <c r="G214" s="7">
        <f>'Información completa'!H143</f>
        <v>46894</v>
      </c>
      <c r="H214" s="7">
        <f>'Información completa'!I143</f>
        <v>33723</v>
      </c>
      <c r="I214" s="7">
        <f>'Información completa'!J143</f>
        <v>14354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</row>
    <row r="215" spans="2:37" x14ac:dyDescent="0.35">
      <c r="B215" s="5"/>
      <c r="C215" s="9" t="s">
        <v>45</v>
      </c>
      <c r="D215" s="9" t="s">
        <v>1</v>
      </c>
      <c r="E215" s="9" t="s">
        <v>2</v>
      </c>
      <c r="F215" s="9" t="s">
        <v>3</v>
      </c>
      <c r="G215" s="9" t="s">
        <v>4</v>
      </c>
      <c r="H215" s="9" t="s">
        <v>5</v>
      </c>
      <c r="I215" s="9" t="s">
        <v>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</row>
    <row r="216" spans="2:37" x14ac:dyDescent="0.35">
      <c r="B216" s="5"/>
      <c r="C216" s="7" t="s">
        <v>51</v>
      </c>
      <c r="D216" s="7">
        <v>1</v>
      </c>
      <c r="E216" s="7">
        <f>$D217/E217</f>
        <v>1.9668265387689847</v>
      </c>
      <c r="F216" s="7">
        <f t="shared" ref="F216" si="44">$D217/F217</f>
        <v>3.4308621891703464</v>
      </c>
      <c r="G216" s="7">
        <f t="shared" ref="G216" si="45">$D217/G217</f>
        <v>4.8267882442692631</v>
      </c>
      <c r="H216" s="7">
        <f t="shared" ref="H216" si="46">$D217/H217</f>
        <v>5.612786306300217</v>
      </c>
      <c r="I216" s="7">
        <f>$D217/I217</f>
        <v>6.9267944279934941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</row>
    <row r="217" spans="2:37" x14ac:dyDescent="0.35">
      <c r="B217" s="5"/>
      <c r="C217" s="7" t="s">
        <v>47</v>
      </c>
      <c r="D217" s="7">
        <f>'Información completa'!M143</f>
        <v>664335</v>
      </c>
      <c r="E217" s="7">
        <f>'Información completa'!N143</f>
        <v>337770</v>
      </c>
      <c r="F217" s="7">
        <f>'Información completa'!O143</f>
        <v>193635</v>
      </c>
      <c r="G217" s="7">
        <f>'Información completa'!P143</f>
        <v>137635</v>
      </c>
      <c r="H217" s="7">
        <f>'Información completa'!Q143</f>
        <v>118361</v>
      </c>
      <c r="I217" s="7">
        <f>'Información completa'!R143</f>
        <v>95908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</row>
    <row r="218" spans="2:37" x14ac:dyDescent="0.35">
      <c r="B218" s="5"/>
      <c r="C218" s="9" t="s">
        <v>45</v>
      </c>
      <c r="D218" s="9" t="s">
        <v>1</v>
      </c>
      <c r="E218" s="9" t="s">
        <v>2</v>
      </c>
      <c r="F218" s="9" t="s">
        <v>3</v>
      </c>
      <c r="G218" s="9" t="s">
        <v>4</v>
      </c>
      <c r="H218" s="9" t="s">
        <v>5</v>
      </c>
      <c r="I218" s="9" t="s">
        <v>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8"/>
    </row>
    <row r="219" spans="2:37" x14ac:dyDescent="0.35">
      <c r="B219" s="5"/>
      <c r="C219" s="7" t="s">
        <v>52</v>
      </c>
      <c r="D219" s="7">
        <v>1</v>
      </c>
      <c r="E219" s="7">
        <f>$D220/E220</f>
        <v>1.8980771594860162</v>
      </c>
      <c r="F219" s="7">
        <f t="shared" ref="F219" si="47">$D220/F220</f>
        <v>3.4481951972867395</v>
      </c>
      <c r="G219" s="7">
        <f t="shared" ref="G219" si="48">$D220/G220</f>
        <v>5.0183492592143724</v>
      </c>
      <c r="H219" s="7">
        <f t="shared" ref="H219" si="49">$D220/H220</f>
        <v>6.2104038068599055</v>
      </c>
      <c r="I219" s="7">
        <f>$D220/I220</f>
        <v>11.904479740729125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</row>
    <row r="220" spans="2:37" x14ac:dyDescent="0.35">
      <c r="B220" s="5"/>
      <c r="C220" s="7" t="s">
        <v>48</v>
      </c>
      <c r="D220" s="7">
        <f>'Información completa'!U143</f>
        <v>6376706</v>
      </c>
      <c r="E220" s="7">
        <f>'Información completa'!V143</f>
        <v>3359561</v>
      </c>
      <c r="F220" s="7">
        <f>'Información completa'!W143</f>
        <v>1849288</v>
      </c>
      <c r="G220" s="7">
        <f>'Información completa'!X143</f>
        <v>1270678</v>
      </c>
      <c r="H220" s="7">
        <f>'Información completa'!Y143</f>
        <v>1026778</v>
      </c>
      <c r="I220" s="7">
        <f>'Información completa'!Z143</f>
        <v>535656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</row>
    <row r="221" spans="2:37" x14ac:dyDescent="0.35">
      <c r="B221" s="5"/>
      <c r="C221" s="9" t="s">
        <v>45</v>
      </c>
      <c r="D221" s="9" t="s">
        <v>1</v>
      </c>
      <c r="E221" s="9" t="s">
        <v>2</v>
      </c>
      <c r="F221" s="9" t="s">
        <v>3</v>
      </c>
      <c r="G221" s="9" t="s">
        <v>4</v>
      </c>
      <c r="H221" s="9" t="s">
        <v>5</v>
      </c>
      <c r="I221" s="9" t="s">
        <v>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</row>
    <row r="222" spans="2:37" x14ac:dyDescent="0.35">
      <c r="B222" s="5"/>
      <c r="C222" s="7" t="s">
        <v>53</v>
      </c>
      <c r="D222" s="7">
        <v>1</v>
      </c>
      <c r="E222" s="7">
        <f>$D223/E223</f>
        <v>1.8108941897750623</v>
      </c>
      <c r="F222" s="7">
        <f t="shared" ref="F222" si="50">$D223/F223</f>
        <v>3.3032437846805176</v>
      </c>
      <c r="G222" s="7">
        <f t="shared" ref="G222" si="51">$D223/G223</f>
        <v>4.8887494501354078</v>
      </c>
      <c r="H222" s="7">
        <f t="shared" ref="H222" si="52">$D223/H223</f>
        <v>5.4798667246094048</v>
      </c>
      <c r="I222" s="7">
        <f>$D223/I223</f>
        <v>9.7454665539339569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</row>
    <row r="223" spans="2:37" x14ac:dyDescent="0.35">
      <c r="B223" s="5"/>
      <c r="C223" s="7" t="s">
        <v>49</v>
      </c>
      <c r="D223" s="7">
        <f>'Información completa'!AC143</f>
        <v>51511213</v>
      </c>
      <c r="E223" s="7">
        <f>'Información completa'!AD143</f>
        <v>28445181</v>
      </c>
      <c r="F223" s="7">
        <f>'Información completa'!AE143</f>
        <v>15594130</v>
      </c>
      <c r="G223" s="7">
        <f>'Información completa'!AF143</f>
        <v>10536685</v>
      </c>
      <c r="H223" s="7">
        <f>'Información completa'!AG143</f>
        <v>9400085</v>
      </c>
      <c r="I223" s="7">
        <f>'Información completa'!AH143</f>
        <v>5285659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</row>
    <row r="224" spans="2:37" x14ac:dyDescent="0.35"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</row>
    <row r="225" spans="2:37" x14ac:dyDescent="0.35"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</row>
    <row r="226" spans="2:37" x14ac:dyDescent="0.35"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</row>
    <row r="227" spans="2:37" x14ac:dyDescent="0.35"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</row>
    <row r="228" spans="2:37" x14ac:dyDescent="0.35"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</row>
    <row r="229" spans="2:37" x14ac:dyDescent="0.35"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</row>
    <row r="230" spans="2:37" x14ac:dyDescent="0.35"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</row>
    <row r="231" spans="2:37" x14ac:dyDescent="0.35"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</row>
    <row r="232" spans="2:37" x14ac:dyDescent="0.35"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</row>
    <row r="233" spans="2:37" x14ac:dyDescent="0.35"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</row>
    <row r="234" spans="2:37" x14ac:dyDescent="0.35"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</row>
    <row r="235" spans="2:37" x14ac:dyDescent="0.35"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</row>
    <row r="236" spans="2:37" x14ac:dyDescent="0.35"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</row>
    <row r="237" spans="2:37" x14ac:dyDescent="0.35"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</row>
    <row r="238" spans="2:37" x14ac:dyDescent="0.35"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</row>
    <row r="239" spans="2:37" x14ac:dyDescent="0.35"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</row>
    <row r="240" spans="2:37" x14ac:dyDescent="0.35"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</row>
    <row r="241" spans="2:37" x14ac:dyDescent="0.35"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</row>
    <row r="242" spans="2:37" x14ac:dyDescent="0.35"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</row>
    <row r="243" spans="2:37" x14ac:dyDescent="0.35"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</row>
    <row r="244" spans="2:37" x14ac:dyDescent="0.35"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</row>
    <row r="245" spans="2:37" x14ac:dyDescent="0.35"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</row>
    <row r="246" spans="2:37" x14ac:dyDescent="0.35"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</row>
    <row r="247" spans="2:37" x14ac:dyDescent="0.35"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</row>
    <row r="248" spans="2:37" x14ac:dyDescent="0.35"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</row>
    <row r="249" spans="2:37" x14ac:dyDescent="0.35"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</row>
    <row r="250" spans="2:37" x14ac:dyDescent="0.35"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</row>
    <row r="251" spans="2:37" x14ac:dyDescent="0.35"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</row>
    <row r="252" spans="2:37" x14ac:dyDescent="0.35"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</row>
    <row r="253" spans="2:37" x14ac:dyDescent="0.35"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</row>
    <row r="254" spans="2:37" x14ac:dyDescent="0.35"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</row>
    <row r="255" spans="2:37" x14ac:dyDescent="0.35"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</row>
    <row r="256" spans="2:37" x14ac:dyDescent="0.35"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</row>
    <row r="257" spans="2:37" x14ac:dyDescent="0.35"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</row>
    <row r="258" spans="2:37" x14ac:dyDescent="0.35"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</row>
    <row r="259" spans="2:37" x14ac:dyDescent="0.35"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</row>
    <row r="260" spans="2:37" x14ac:dyDescent="0.35"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</row>
    <row r="261" spans="2:37" x14ac:dyDescent="0.35"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</row>
    <row r="262" spans="2:37" x14ac:dyDescent="0.35"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</row>
    <row r="263" spans="2:37" x14ac:dyDescent="0.35"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</row>
    <row r="264" spans="2:37" x14ac:dyDescent="0.35"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</row>
    <row r="265" spans="2:37" x14ac:dyDescent="0.35"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</row>
    <row r="266" spans="2:37" x14ac:dyDescent="0.35"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</row>
    <row r="267" spans="2:37" x14ac:dyDescent="0.35"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</row>
    <row r="268" spans="2:37" x14ac:dyDescent="0.35"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</row>
    <row r="269" spans="2:37" x14ac:dyDescent="0.35"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</row>
    <row r="270" spans="2:37" x14ac:dyDescent="0.35"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</row>
    <row r="271" spans="2:37" x14ac:dyDescent="0.35"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</row>
    <row r="272" spans="2:37" x14ac:dyDescent="0.35"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</row>
    <row r="273" spans="2:37" x14ac:dyDescent="0.35"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</row>
    <row r="274" spans="2:37" ht="29" customHeight="1" thickBot="1" x14ac:dyDescent="0.4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2"/>
    </row>
  </sheetData>
  <mergeCells count="8">
    <mergeCell ref="K212:L212"/>
    <mergeCell ref="K213:L213"/>
    <mergeCell ref="K8:L8"/>
    <mergeCell ref="K9:L9"/>
    <mergeCell ref="K76:L76"/>
    <mergeCell ref="K77:L77"/>
    <mergeCell ref="K144:L144"/>
    <mergeCell ref="K145:L1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CEE-D70F-4769-AFEA-1E86F20829F9}">
  <dimension ref="B2:O151"/>
  <sheetViews>
    <sheetView tabSelected="1" zoomScale="70" zoomScaleNormal="70" workbookViewId="0">
      <selection activeCell="J115" sqref="J115"/>
    </sheetView>
  </sheetViews>
  <sheetFormatPr baseColWidth="10" defaultRowHeight="14.5" x14ac:dyDescent="0.35"/>
  <cols>
    <col min="1" max="1" width="10.90625" customWidth="1"/>
    <col min="2" max="2" width="2.7265625" customWidth="1"/>
    <col min="3" max="3" width="19.90625" customWidth="1"/>
    <col min="4" max="4" width="21.81640625" customWidth="1"/>
    <col min="15" max="15" width="2.7265625" customWidth="1"/>
  </cols>
  <sheetData>
    <row r="2" spans="2:15" ht="15" thickBot="1" x14ac:dyDescent="0.4"/>
    <row r="3" spans="2:15" x14ac:dyDescent="0.3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ht="37" x14ac:dyDescent="0.85">
      <c r="B4" s="5"/>
      <c r="C4" s="7"/>
      <c r="D4" s="6" t="s">
        <v>55</v>
      </c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2:15" x14ac:dyDescent="0.35">
      <c r="B5" s="5"/>
      <c r="C5" s="13"/>
      <c r="D5" s="9" t="str" cm="1">
        <f t="array" ref="D5:J5">'Gráficas SpeedUp'!C8:I8</f>
        <v># Hilos</v>
      </c>
      <c r="E5" s="9" t="str">
        <v>1 hilo</v>
      </c>
      <c r="F5" s="9" t="str">
        <v>2 hilos</v>
      </c>
      <c r="G5" s="9" t="str">
        <v>4 hilos</v>
      </c>
      <c r="H5" s="9" t="str">
        <v>8 hilos</v>
      </c>
      <c r="I5" s="9" t="str">
        <v>12 hilos</v>
      </c>
      <c r="J5" s="9" t="str">
        <v>32 hilos</v>
      </c>
      <c r="K5" s="7"/>
      <c r="L5" s="7"/>
      <c r="M5" s="7"/>
      <c r="N5" s="7"/>
      <c r="O5" s="8"/>
    </row>
    <row r="6" spans="2:15" ht="14.5" customHeight="1" x14ac:dyDescent="0.35">
      <c r="B6" s="5"/>
      <c r="C6" s="49" t="s">
        <v>60</v>
      </c>
      <c r="D6" s="14" t="s">
        <v>59</v>
      </c>
      <c r="E6" s="7" cm="1">
        <f t="array" ref="E6:J6">'Gráficas SpeedUp'!D10:I10</f>
        <v>395790</v>
      </c>
      <c r="F6" s="7">
        <v>221549</v>
      </c>
      <c r="G6" s="7">
        <v>161865</v>
      </c>
      <c r="H6" s="7">
        <v>144469</v>
      </c>
      <c r="I6" s="7">
        <v>109948</v>
      </c>
      <c r="J6" s="7">
        <v>109489</v>
      </c>
      <c r="K6" s="7"/>
      <c r="L6" s="7"/>
      <c r="M6" s="7"/>
      <c r="N6" s="7"/>
      <c r="O6" s="8"/>
    </row>
    <row r="7" spans="2:15" x14ac:dyDescent="0.35">
      <c r="B7" s="5"/>
      <c r="C7" s="49"/>
      <c r="D7" s="14" t="s">
        <v>56</v>
      </c>
      <c r="E7" s="7" cm="1">
        <f t="array" ref="E7:J7">'Gráficas SpeedUp'!D78:I78</f>
        <v>152489</v>
      </c>
      <c r="F7" s="7">
        <v>95962</v>
      </c>
      <c r="G7" s="7">
        <v>74085</v>
      </c>
      <c r="H7" s="7">
        <v>53879</v>
      </c>
      <c r="I7" s="7">
        <v>51998</v>
      </c>
      <c r="J7" s="7">
        <v>24656</v>
      </c>
      <c r="K7" s="7"/>
      <c r="L7" s="7"/>
      <c r="M7" s="7"/>
      <c r="N7" s="7"/>
      <c r="O7" s="8"/>
    </row>
    <row r="8" spans="2:15" x14ac:dyDescent="0.35">
      <c r="B8" s="5"/>
      <c r="C8" s="49"/>
      <c r="D8" s="14" t="s">
        <v>57</v>
      </c>
      <c r="E8" s="7" cm="1">
        <f t="array" ref="E8:J8">'Gráficas SpeedUp'!D146:I146</f>
        <v>392609</v>
      </c>
      <c r="F8" s="7">
        <v>239216</v>
      </c>
      <c r="G8" s="7">
        <v>178788</v>
      </c>
      <c r="H8" s="7">
        <v>151045</v>
      </c>
      <c r="I8" s="7">
        <v>128509</v>
      </c>
      <c r="J8" s="7">
        <v>72516</v>
      </c>
      <c r="K8" s="7"/>
      <c r="L8" s="7"/>
      <c r="M8" s="7"/>
      <c r="N8" s="7"/>
      <c r="O8" s="8"/>
    </row>
    <row r="9" spans="2:15" x14ac:dyDescent="0.35">
      <c r="B9" s="5"/>
      <c r="C9" s="49"/>
      <c r="D9" s="14" t="s">
        <v>58</v>
      </c>
      <c r="E9" s="7" cm="1">
        <f t="array" ref="E9:J9">'Gráficas SpeedUp'!D214:I214</f>
        <v>130105</v>
      </c>
      <c r="F9" s="7">
        <v>85335</v>
      </c>
      <c r="G9" s="7">
        <v>65692</v>
      </c>
      <c r="H9" s="7">
        <v>46894</v>
      </c>
      <c r="I9" s="7">
        <v>33723</v>
      </c>
      <c r="J9" s="7">
        <v>14354</v>
      </c>
      <c r="K9" s="7"/>
      <c r="L9" s="7"/>
      <c r="M9" s="7"/>
      <c r="N9" s="7"/>
      <c r="O9" s="8"/>
    </row>
    <row r="10" spans="2:15" x14ac:dyDescent="0.35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2:15" x14ac:dyDescent="0.35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x14ac:dyDescent="0.35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2:15" x14ac:dyDescent="0.35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2:15" x14ac:dyDescent="0.35"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2:15" x14ac:dyDescent="0.35"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2:15" x14ac:dyDescent="0.35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5" x14ac:dyDescent="0.35"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2:15" x14ac:dyDescent="0.35"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2:15" x14ac:dyDescent="0.35"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2:15" x14ac:dyDescent="0.35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2:15" x14ac:dyDescent="0.35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2:15" x14ac:dyDescent="0.35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2:15" x14ac:dyDescent="0.35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2:15" x14ac:dyDescent="0.35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2:15" x14ac:dyDescent="0.3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2:15" x14ac:dyDescent="0.35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2:15" x14ac:dyDescent="0.3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2:15" x14ac:dyDescent="0.3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2:15" x14ac:dyDescent="0.35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2:15" x14ac:dyDescent="0.35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2:15" x14ac:dyDescent="0.3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2:15" x14ac:dyDescent="0.35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2:15" x14ac:dyDescent="0.35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2:15" x14ac:dyDescent="0.35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2:15" x14ac:dyDescent="0.35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2:15" x14ac:dyDescent="0.35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2:15" ht="15" thickBot="1" x14ac:dyDescent="0.4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</row>
    <row r="40" spans="2:15" ht="15" thickBot="1" x14ac:dyDescent="0.4"/>
    <row r="41" spans="2:15" x14ac:dyDescent="0.35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2:15" ht="37" x14ac:dyDescent="0.85">
      <c r="B42" s="5"/>
      <c r="C42" s="7"/>
      <c r="D42" s="6" t="s">
        <v>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2:15" x14ac:dyDescent="0.35">
      <c r="B43" s="5"/>
      <c r="C43" s="13"/>
      <c r="D43" s="9" t="str" cm="1">
        <f t="array" ref="D43:J43">'Gráficas SpeedUp'!C76:I76</f>
        <v># Hilos</v>
      </c>
      <c r="E43" s="9" t="str">
        <v>1 hilo</v>
      </c>
      <c r="F43" s="9" t="str">
        <v>2 hilos</v>
      </c>
      <c r="G43" s="9" t="str">
        <v>4 hilos</v>
      </c>
      <c r="H43" s="9" t="str">
        <v>8 hilos</v>
      </c>
      <c r="I43" s="9" t="str">
        <v>12 hilos</v>
      </c>
      <c r="J43" s="9" t="str">
        <v>32 hilos</v>
      </c>
      <c r="K43" s="7"/>
      <c r="L43" s="7"/>
      <c r="M43" s="7"/>
      <c r="N43" s="7"/>
      <c r="O43" s="8"/>
    </row>
    <row r="44" spans="2:15" ht="14.5" customHeight="1" x14ac:dyDescent="0.35">
      <c r="B44" s="5"/>
      <c r="C44" s="49" t="s">
        <v>60</v>
      </c>
      <c r="D44" s="14" t="s">
        <v>59</v>
      </c>
      <c r="E44" s="7" cm="1">
        <f t="array" ref="E44:J44">'Gráficas SpeedUp'!D13:I13</f>
        <v>2797186</v>
      </c>
      <c r="F44" s="7">
        <v>1417962</v>
      </c>
      <c r="G44" s="7">
        <v>831491</v>
      </c>
      <c r="H44" s="7">
        <v>539708</v>
      </c>
      <c r="I44" s="7">
        <v>439426</v>
      </c>
      <c r="J44" s="7">
        <v>274450</v>
      </c>
      <c r="K44" s="7"/>
      <c r="L44" s="7"/>
      <c r="M44" s="7"/>
      <c r="N44" s="7"/>
      <c r="O44" s="8"/>
    </row>
    <row r="45" spans="2:15" x14ac:dyDescent="0.35">
      <c r="B45" s="5"/>
      <c r="C45" s="49"/>
      <c r="D45" s="14" t="s">
        <v>56</v>
      </c>
      <c r="E45" s="7" cm="1">
        <f t="array" ref="E45:J45">'Gráficas SpeedUp'!D81:I81</f>
        <v>978412</v>
      </c>
      <c r="F45" s="7">
        <v>540877</v>
      </c>
      <c r="G45" s="7">
        <v>304147</v>
      </c>
      <c r="H45" s="7">
        <v>220224</v>
      </c>
      <c r="I45" s="7">
        <v>176600</v>
      </c>
      <c r="J45" s="7">
        <v>196862</v>
      </c>
      <c r="K45" s="7"/>
      <c r="L45" s="7"/>
      <c r="M45" s="7"/>
      <c r="N45" s="7"/>
      <c r="O45" s="8"/>
    </row>
    <row r="46" spans="2:15" x14ac:dyDescent="0.35">
      <c r="B46" s="5"/>
      <c r="C46" s="49"/>
      <c r="D46" s="14" t="s">
        <v>57</v>
      </c>
      <c r="E46" s="7" cm="1">
        <f t="array" ref="E46:J46">'Gráficas SpeedUp'!D149:I149</f>
        <v>2805986</v>
      </c>
      <c r="F46" s="7">
        <v>1416001</v>
      </c>
      <c r="G46" s="7">
        <v>821218</v>
      </c>
      <c r="H46" s="7">
        <v>509350</v>
      </c>
      <c r="I46" s="7">
        <v>434907</v>
      </c>
      <c r="J46" s="7">
        <v>255239</v>
      </c>
      <c r="K46" s="7"/>
      <c r="L46" s="7"/>
      <c r="M46" s="7"/>
      <c r="N46" s="7"/>
      <c r="O46" s="8"/>
    </row>
    <row r="47" spans="2:15" x14ac:dyDescent="0.35">
      <c r="B47" s="5"/>
      <c r="C47" s="49"/>
      <c r="D47" s="14" t="s">
        <v>58</v>
      </c>
      <c r="E47" s="7" cm="1">
        <f t="array" ref="E47:J47">'Gráficas SpeedUp'!D217:I217</f>
        <v>664335</v>
      </c>
      <c r="F47" s="7">
        <v>337770</v>
      </c>
      <c r="G47" s="7">
        <v>193635</v>
      </c>
      <c r="H47" s="7">
        <v>137635</v>
      </c>
      <c r="I47" s="7">
        <v>118361</v>
      </c>
      <c r="J47" s="7">
        <v>95908</v>
      </c>
      <c r="K47" s="7"/>
      <c r="L47" s="7"/>
      <c r="M47" s="7"/>
      <c r="N47" s="7"/>
      <c r="O47" s="8"/>
    </row>
    <row r="48" spans="2:15" x14ac:dyDescent="0.35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spans="2:15" x14ac:dyDescent="0.35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0" spans="2:15" x14ac:dyDescent="0.35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</row>
    <row r="51" spans="2:15" x14ac:dyDescent="0.35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</row>
    <row r="52" spans="2:15" x14ac:dyDescent="0.35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2:15" x14ac:dyDescent="0.35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2:15" x14ac:dyDescent="0.35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2:15" x14ac:dyDescent="0.35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2:15" x14ac:dyDescent="0.35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2:15" x14ac:dyDescent="0.35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 x14ac:dyDescent="0.35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2:15" x14ac:dyDescent="0.35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2:15" x14ac:dyDescent="0.35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2:15" x14ac:dyDescent="0.35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2:15" x14ac:dyDescent="0.35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</row>
    <row r="63" spans="2:15" x14ac:dyDescent="0.35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</row>
    <row r="64" spans="2:15" x14ac:dyDescent="0.35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</row>
    <row r="65" spans="2:15" x14ac:dyDescent="0.35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</row>
    <row r="66" spans="2:15" x14ac:dyDescent="0.35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2:15" x14ac:dyDescent="0.35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2:15" x14ac:dyDescent="0.35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2:15" x14ac:dyDescent="0.35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2:15" x14ac:dyDescent="0.35"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2:15" x14ac:dyDescent="0.35"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2:15" x14ac:dyDescent="0.35"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2:15" x14ac:dyDescent="0.35"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4" spans="2:15" x14ac:dyDescent="0.35"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2:15" ht="15" thickBot="1" x14ac:dyDescent="0.4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8" spans="2:15" ht="15" thickBot="1" x14ac:dyDescent="0.4"/>
    <row r="79" spans="2:15" x14ac:dyDescent="0.35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2:15" ht="37" x14ac:dyDescent="0.85">
      <c r="B80" s="5"/>
      <c r="C80" s="7"/>
      <c r="D80" s="6" t="s">
        <v>62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2:15" x14ac:dyDescent="0.35">
      <c r="B81" s="5"/>
      <c r="C81" s="13"/>
      <c r="D81" s="9" t="str" cm="1">
        <f t="array" ref="D81:J81">'Gráficas SpeedUp'!C144:I144</f>
        <v># Hilos</v>
      </c>
      <c r="E81" s="9" t="str">
        <v>1 hilo</v>
      </c>
      <c r="F81" s="9" t="str">
        <v>2 hilos</v>
      </c>
      <c r="G81" s="9" t="str">
        <v>4 hilos</v>
      </c>
      <c r="H81" s="9" t="str">
        <v>8 hilos</v>
      </c>
      <c r="I81" s="9" t="str">
        <v>12 hilos</v>
      </c>
      <c r="J81" s="9" t="str">
        <v>32 hilos</v>
      </c>
      <c r="K81" s="7"/>
      <c r="L81" s="7"/>
      <c r="M81" s="7"/>
      <c r="N81" s="7"/>
      <c r="O81" s="8"/>
    </row>
    <row r="82" spans="2:15" x14ac:dyDescent="0.35">
      <c r="B82" s="5"/>
      <c r="C82" s="49" t="s">
        <v>60</v>
      </c>
      <c r="D82" s="14" t="s">
        <v>59</v>
      </c>
      <c r="E82" s="7" cm="1">
        <f t="array" ref="E82:J82">'Gráficas SpeedUp'!D16:I16</f>
        <v>33274558</v>
      </c>
      <c r="F82" s="7">
        <v>17466949</v>
      </c>
      <c r="G82" s="7">
        <v>9105632</v>
      </c>
      <c r="H82" s="7">
        <v>5368779</v>
      </c>
      <c r="I82" s="7">
        <v>5642010</v>
      </c>
      <c r="J82" s="7">
        <v>3779028</v>
      </c>
      <c r="K82" s="7"/>
      <c r="L82" s="7"/>
      <c r="M82" s="7"/>
      <c r="N82" s="7"/>
      <c r="O82" s="8"/>
    </row>
    <row r="83" spans="2:15" x14ac:dyDescent="0.35">
      <c r="B83" s="5"/>
      <c r="C83" s="49"/>
      <c r="D83" s="14" t="s">
        <v>56</v>
      </c>
      <c r="E83" s="7" cm="1">
        <f t="array" ref="E83:J83">'Gráficas SpeedUp'!D84:I84</f>
        <v>26592717</v>
      </c>
      <c r="F83" s="7">
        <v>15768801</v>
      </c>
      <c r="G83" s="7">
        <v>7564411</v>
      </c>
      <c r="H83" s="7">
        <v>4521071</v>
      </c>
      <c r="I83" s="7">
        <v>4612473</v>
      </c>
      <c r="J83" s="7">
        <v>3729862</v>
      </c>
      <c r="K83" s="7"/>
      <c r="L83" s="7"/>
      <c r="M83" s="7"/>
      <c r="N83" s="7"/>
      <c r="O83" s="8"/>
    </row>
    <row r="84" spans="2:15" x14ac:dyDescent="0.35">
      <c r="B84" s="5"/>
      <c r="C84" s="49"/>
      <c r="D84" s="14" t="s">
        <v>57</v>
      </c>
      <c r="E84" s="7" cm="1">
        <f t="array" ref="E84:J84">'Gráficas SpeedUp'!D152:I152</f>
        <v>31581026</v>
      </c>
      <c r="F84" s="7">
        <v>17171743</v>
      </c>
      <c r="G84" s="7">
        <v>9178218</v>
      </c>
      <c r="H84" s="7">
        <v>5368160</v>
      </c>
      <c r="I84" s="7">
        <v>5655330</v>
      </c>
      <c r="J84" s="7">
        <v>3693201</v>
      </c>
      <c r="K84" s="7"/>
      <c r="L84" s="7"/>
      <c r="M84" s="7"/>
      <c r="N84" s="7"/>
      <c r="O84" s="8"/>
    </row>
    <row r="85" spans="2:15" x14ac:dyDescent="0.35">
      <c r="B85" s="5"/>
      <c r="C85" s="49"/>
      <c r="D85" s="14" t="s">
        <v>58</v>
      </c>
      <c r="E85" s="7" cm="1">
        <f t="array" ref="E85:J85">'Gráficas SpeedUp'!D220:I220</f>
        <v>6376706</v>
      </c>
      <c r="F85" s="7">
        <v>3359561</v>
      </c>
      <c r="G85" s="7">
        <v>1849288</v>
      </c>
      <c r="H85" s="7">
        <v>1270678</v>
      </c>
      <c r="I85" s="7">
        <v>1026778</v>
      </c>
      <c r="J85" s="7">
        <v>535656</v>
      </c>
      <c r="K85" s="7"/>
      <c r="L85" s="7"/>
      <c r="M85" s="7"/>
      <c r="N85" s="7"/>
      <c r="O85" s="8"/>
    </row>
    <row r="86" spans="2:15" x14ac:dyDescent="0.35"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2:15" x14ac:dyDescent="0.35"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2:15" x14ac:dyDescent="0.35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2:15" x14ac:dyDescent="0.35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 x14ac:dyDescent="0.35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2:15" x14ac:dyDescent="0.35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</row>
    <row r="92" spans="2:15" x14ac:dyDescent="0.35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</row>
    <row r="93" spans="2:15" x14ac:dyDescent="0.35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2:15" x14ac:dyDescent="0.35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2:15" x14ac:dyDescent="0.35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2:15" x14ac:dyDescent="0.35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2:15" x14ac:dyDescent="0.35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2:15" x14ac:dyDescent="0.35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2:15" x14ac:dyDescent="0.35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</row>
    <row r="100" spans="2:15" x14ac:dyDescent="0.35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</row>
    <row r="101" spans="2:15" x14ac:dyDescent="0.35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2:15" x14ac:dyDescent="0.35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2:15" x14ac:dyDescent="0.35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2:15" x14ac:dyDescent="0.35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2:15" x14ac:dyDescent="0.35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</row>
    <row r="106" spans="2:15" x14ac:dyDescent="0.35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</row>
    <row r="107" spans="2:15" x14ac:dyDescent="0.35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</row>
    <row r="108" spans="2:15" x14ac:dyDescent="0.35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</row>
    <row r="109" spans="2:15" x14ac:dyDescent="0.35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</row>
    <row r="110" spans="2:15" x14ac:dyDescent="0.35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spans="2:15" x14ac:dyDescent="0.35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</row>
    <row r="112" spans="2:15" x14ac:dyDescent="0.35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 spans="2:15" ht="15" thickBot="1" x14ac:dyDescent="0.4"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</row>
    <row r="116" spans="2:15" ht="15" thickBot="1" x14ac:dyDescent="0.4"/>
    <row r="117" spans="2:15" x14ac:dyDescent="0.35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</row>
    <row r="118" spans="2:15" ht="37" x14ac:dyDescent="0.85">
      <c r="B118" s="5"/>
      <c r="C118" s="7"/>
      <c r="D118" s="6" t="s">
        <v>63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</row>
    <row r="119" spans="2:15" x14ac:dyDescent="0.35">
      <c r="B119" s="5"/>
      <c r="C119" s="13"/>
      <c r="D119" s="9" t="str" cm="1">
        <f t="array" ref="D119:J119">'Gráficas SpeedUp'!C212:I212</f>
        <v># Hilos</v>
      </c>
      <c r="E119" s="9" t="str">
        <v>1 hilo</v>
      </c>
      <c r="F119" s="9" t="str">
        <v>2 hilos</v>
      </c>
      <c r="G119" s="9" t="str">
        <v>4 hilos</v>
      </c>
      <c r="H119" s="9" t="str">
        <v>8 hilos</v>
      </c>
      <c r="I119" s="9" t="str">
        <v>12 hilos</v>
      </c>
      <c r="J119" s="9" t="str">
        <v>32 hilos</v>
      </c>
      <c r="K119" s="7"/>
      <c r="L119" s="7"/>
      <c r="M119" s="7"/>
      <c r="N119" s="7"/>
      <c r="O119" s="8"/>
    </row>
    <row r="120" spans="2:15" x14ac:dyDescent="0.35">
      <c r="B120" s="5"/>
      <c r="C120" s="49" t="s">
        <v>60</v>
      </c>
      <c r="D120" s="14" t="s">
        <v>59</v>
      </c>
      <c r="E120" s="7" cm="1">
        <f t="array" ref="E120:J120">'Gráficas SpeedUp'!D19:I19</f>
        <v>534112516</v>
      </c>
      <c r="F120" s="7">
        <v>188752044</v>
      </c>
      <c r="G120" s="7">
        <v>97791893</v>
      </c>
      <c r="H120" s="7">
        <v>57692937</v>
      </c>
      <c r="I120" s="7">
        <v>62382517</v>
      </c>
      <c r="J120" s="7">
        <v>42968365</v>
      </c>
      <c r="K120" s="7"/>
      <c r="L120" s="7"/>
      <c r="M120" s="7"/>
      <c r="N120" s="7"/>
      <c r="O120" s="8"/>
    </row>
    <row r="121" spans="2:15" x14ac:dyDescent="0.35">
      <c r="B121" s="5"/>
      <c r="C121" s="49"/>
      <c r="D121" s="14" t="s">
        <v>56</v>
      </c>
      <c r="E121" s="7" cm="1">
        <f t="array" ref="E121:J121">'Gráficas SpeedUp'!D87:I87</f>
        <v>721473512</v>
      </c>
      <c r="F121" s="7">
        <v>203236743</v>
      </c>
      <c r="G121" s="7">
        <v>102562613</v>
      </c>
      <c r="H121" s="7">
        <v>65972682</v>
      </c>
      <c r="I121" s="7">
        <v>62808022</v>
      </c>
      <c r="J121" s="7">
        <v>42752207</v>
      </c>
      <c r="K121" s="7"/>
      <c r="L121" s="7"/>
      <c r="M121" s="7"/>
      <c r="N121" s="7"/>
      <c r="O121" s="8"/>
    </row>
    <row r="122" spans="2:15" x14ac:dyDescent="0.35">
      <c r="B122" s="5"/>
      <c r="C122" s="49"/>
      <c r="D122" s="14" t="s">
        <v>57</v>
      </c>
      <c r="E122" s="7" cm="1">
        <f t="array" ref="E122:J122">'Gráficas SpeedUp'!D155:I155</f>
        <v>536677694</v>
      </c>
      <c r="F122" s="7">
        <v>187776148</v>
      </c>
      <c r="G122" s="7">
        <v>96728418</v>
      </c>
      <c r="H122" s="7">
        <v>57473919</v>
      </c>
      <c r="I122" s="7">
        <v>62020924</v>
      </c>
      <c r="J122" s="7">
        <v>41499532</v>
      </c>
      <c r="K122" s="7"/>
      <c r="L122" s="7"/>
      <c r="M122" s="7"/>
      <c r="N122" s="7"/>
      <c r="O122" s="8"/>
    </row>
    <row r="123" spans="2:15" x14ac:dyDescent="0.35">
      <c r="B123" s="5"/>
      <c r="C123" s="49"/>
      <c r="D123" s="14" t="s">
        <v>58</v>
      </c>
      <c r="E123" s="7" cm="1">
        <f t="array" ref="E123:J123">'Gráficas SpeedUp'!D223:I223</f>
        <v>51511213</v>
      </c>
      <c r="F123" s="7">
        <v>28445181</v>
      </c>
      <c r="G123" s="7">
        <v>15594130</v>
      </c>
      <c r="H123" s="7">
        <v>10536685</v>
      </c>
      <c r="I123" s="7">
        <v>9400085</v>
      </c>
      <c r="J123" s="7">
        <v>5285659</v>
      </c>
      <c r="K123" s="7"/>
      <c r="L123" s="7"/>
      <c r="M123" s="7"/>
      <c r="N123" s="7"/>
      <c r="O123" s="8"/>
    </row>
    <row r="124" spans="2:15" x14ac:dyDescent="0.35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</row>
    <row r="125" spans="2:15" x14ac:dyDescent="0.35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</row>
    <row r="126" spans="2:15" x14ac:dyDescent="0.35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</row>
    <row r="127" spans="2:15" x14ac:dyDescent="0.35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</row>
    <row r="128" spans="2:15" x14ac:dyDescent="0.35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</row>
    <row r="129" spans="2:15" x14ac:dyDescent="0.35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</row>
    <row r="130" spans="2:15" x14ac:dyDescent="0.35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</row>
    <row r="131" spans="2:15" x14ac:dyDescent="0.35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</row>
    <row r="132" spans="2:15" x14ac:dyDescent="0.35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2:15" x14ac:dyDescent="0.35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</row>
    <row r="134" spans="2:15" x14ac:dyDescent="0.35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</row>
    <row r="135" spans="2:15" x14ac:dyDescent="0.35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</row>
    <row r="136" spans="2:15" x14ac:dyDescent="0.35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</row>
    <row r="137" spans="2:15" x14ac:dyDescent="0.35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</row>
    <row r="138" spans="2:15" x14ac:dyDescent="0.35"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2:15" x14ac:dyDescent="0.35"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2:15" x14ac:dyDescent="0.35"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2:15" x14ac:dyDescent="0.35"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2:15" x14ac:dyDescent="0.35"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2:15" x14ac:dyDescent="0.35"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2:15" x14ac:dyDescent="0.35"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2:15" x14ac:dyDescent="0.35"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2:15" x14ac:dyDescent="0.35"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2:15" x14ac:dyDescent="0.35"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2:15" x14ac:dyDescent="0.35"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2:15" x14ac:dyDescent="0.35"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2:15" x14ac:dyDescent="0.35"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2:15" ht="15" thickBot="1" x14ac:dyDescent="0.4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</row>
  </sheetData>
  <mergeCells count="4">
    <mergeCell ref="C120:C123"/>
    <mergeCell ref="C6:C9"/>
    <mergeCell ref="C44:C47"/>
    <mergeCell ref="C82:C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Ramirez Vargas</dc:creator>
  <cp:lastModifiedBy>Daniel Felipe Ramirez Vargas</cp:lastModifiedBy>
  <dcterms:created xsi:type="dcterms:W3CDTF">2025-11-03T08:10:09Z</dcterms:created>
  <dcterms:modified xsi:type="dcterms:W3CDTF">2025-11-03T12:53:39Z</dcterms:modified>
</cp:coreProperties>
</file>