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juandaviddazacaro/Downloads/"/>
    </mc:Choice>
  </mc:AlternateContent>
  <xr:revisionPtr revIDLastSave="0" documentId="8_{756FCC19-2A57-4866-9A26-36C2DFA3D57C}" xr6:coauthVersionLast="47" xr6:coauthVersionMax="47" xr10:uidLastSave="{00000000-0000-0000-0000-000000000000}"/>
  <bookViews>
    <workbookView xWindow="0" yWindow="720" windowWidth="29400" windowHeight="18400" firstSheet="1" activeTab="1" xr2:uid="{6FBAE34B-A4D4-4AE5-8E06-5619365ACB10}"/>
  </bookViews>
  <sheets>
    <sheet name="Información completa" sheetId="1" r:id="rId1"/>
    <sheet name="Gráficas SpeedUp" sheetId="2" r:id="rId2"/>
    <sheet name="Gráficas Tiemp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43" i="1" l="1" a="1"/>
  <c r="AD143" i="1" s="1"/>
  <c r="E223" i="2" s="1"/>
  <c r="AE143" i="1" a="1"/>
  <c r="AE143" i="1" s="1"/>
  <c r="F223" i="2" s="1"/>
  <c r="AF143" i="1" a="1"/>
  <c r="AF143" i="1"/>
  <c r="AG143" i="1" a="1"/>
  <c r="AG143" i="1" s="1"/>
  <c r="H223" i="2" s="1"/>
  <c r="AH143" i="1" a="1"/>
  <c r="AH143" i="1" s="1"/>
  <c r="I223" i="2" s="1"/>
  <c r="AC143" i="1" a="1"/>
  <c r="AC143" i="1" s="1"/>
  <c r="D223" i="2" s="1"/>
  <c r="W143" i="1" a="1"/>
  <c r="W143" i="1" s="1"/>
  <c r="F220" i="2" s="1"/>
  <c r="X143" i="1" a="1"/>
  <c r="X143" i="1" s="1"/>
  <c r="G220" i="2" s="1"/>
  <c r="Y143" i="1" a="1"/>
  <c r="Y143" i="1" s="1"/>
  <c r="H220" i="2" s="1"/>
  <c r="Z143" i="1" a="1"/>
  <c r="Z143" i="1" s="1"/>
  <c r="I220" i="2" s="1"/>
  <c r="U143" i="1" a="1"/>
  <c r="U143" i="1" s="1"/>
  <c r="D220" i="2" s="1"/>
  <c r="V143" i="1" a="1"/>
  <c r="V143" i="1" s="1"/>
  <c r="E220" i="2" s="1"/>
  <c r="N143" i="1" a="1"/>
  <c r="N143" i="1" s="1"/>
  <c r="E217" i="2" s="1"/>
  <c r="O143" i="1" a="1"/>
  <c r="O143" i="1" s="1"/>
  <c r="F217" i="2" s="1"/>
  <c r="P143" i="1" a="1"/>
  <c r="P143" i="1" s="1"/>
  <c r="G217" i="2" s="1"/>
  <c r="Q143" i="1" a="1"/>
  <c r="Q143" i="1" s="1"/>
  <c r="H217" i="2" s="1"/>
  <c r="R143" i="1" a="1"/>
  <c r="R143" i="1" s="1"/>
  <c r="I217" i="2" s="1"/>
  <c r="M143" i="1" a="1"/>
  <c r="M143" i="1" s="1"/>
  <c r="D217" i="2" s="1"/>
  <c r="F143" i="1" a="1"/>
  <c r="F143" i="1" s="1"/>
  <c r="E214" i="2" s="1"/>
  <c r="G143" i="1" a="1"/>
  <c r="G143" i="1" s="1"/>
  <c r="F214" i="2" s="1"/>
  <c r="H143" i="1" a="1"/>
  <c r="H143" i="1" s="1"/>
  <c r="G214" i="2" s="1"/>
  <c r="I143" i="1" a="1"/>
  <c r="I143" i="1" s="1"/>
  <c r="H214" i="2" s="1"/>
  <c r="J143" i="1" a="1"/>
  <c r="J143" i="1" s="1"/>
  <c r="I214" i="2" s="1"/>
  <c r="E143" i="1" a="1"/>
  <c r="E143" i="1" s="1"/>
  <c r="D214" i="2" s="1"/>
  <c r="AD107" i="1" a="1"/>
  <c r="AD107" i="1" s="1"/>
  <c r="E155" i="2" s="1"/>
  <c r="AE107" i="1" a="1"/>
  <c r="AE107" i="1" s="1"/>
  <c r="F155" i="2" s="1"/>
  <c r="AF107" i="1" a="1"/>
  <c r="AF107" i="1" s="1"/>
  <c r="G155" i="2" s="1"/>
  <c r="AG107" i="1" a="1"/>
  <c r="AG107" i="1" s="1"/>
  <c r="H155" i="2" s="1"/>
  <c r="AH107" i="1" a="1"/>
  <c r="AH107" i="1" s="1"/>
  <c r="I155" i="2" s="1"/>
  <c r="AC107" i="1" a="1"/>
  <c r="AC107" i="1" s="1"/>
  <c r="D155" i="2" s="1"/>
  <c r="W107" i="1" a="1"/>
  <c r="W107" i="1" s="1"/>
  <c r="F152" i="2" s="1"/>
  <c r="X107" i="1" a="1"/>
  <c r="X107" i="1" s="1"/>
  <c r="G152" i="2" s="1"/>
  <c r="Y107" i="1" a="1"/>
  <c r="Y107" i="1" s="1"/>
  <c r="H152" i="2" s="1"/>
  <c r="Z107" i="1" a="1"/>
  <c r="Z107" i="1"/>
  <c r="U107" i="1" a="1"/>
  <c r="U107" i="1" s="1"/>
  <c r="D152" i="2" s="1"/>
  <c r="V107" i="1" a="1"/>
  <c r="V107" i="1" s="1"/>
  <c r="E152" i="2" s="1"/>
  <c r="R107" i="1" a="1"/>
  <c r="R107" i="1" s="1"/>
  <c r="I149" i="2" s="1"/>
  <c r="N107" i="1" a="1"/>
  <c r="N107" i="1" s="1"/>
  <c r="E149" i="2" s="1"/>
  <c r="O107" i="1" a="1"/>
  <c r="O107" i="1" s="1"/>
  <c r="F149" i="2" s="1"/>
  <c r="P107" i="1" a="1"/>
  <c r="P107" i="1" s="1"/>
  <c r="G149" i="2" s="1"/>
  <c r="Q107" i="1" a="1"/>
  <c r="Q107" i="1"/>
  <c r="H149" i="2" s="1"/>
  <c r="M107" i="1" a="1"/>
  <c r="M107" i="1" s="1"/>
  <c r="D149" i="2" s="1"/>
  <c r="F107" i="1" a="1"/>
  <c r="F107" i="1" s="1"/>
  <c r="E146" i="2" s="1"/>
  <c r="G107" i="1" a="1"/>
  <c r="G107" i="1" s="1"/>
  <c r="F146" i="2" s="1"/>
  <c r="H107" i="1" a="1"/>
  <c r="H107" i="1" s="1"/>
  <c r="G146" i="2" s="1"/>
  <c r="I107" i="1" a="1"/>
  <c r="I107" i="1" s="1"/>
  <c r="H146" i="2" s="1"/>
  <c r="J107" i="1" a="1"/>
  <c r="J107" i="1" s="1"/>
  <c r="I146" i="2" s="1"/>
  <c r="E107" i="1" a="1"/>
  <c r="E107" i="1" s="1"/>
  <c r="D146" i="2" s="1"/>
  <c r="AD71" i="1" a="1"/>
  <c r="AD71" i="1" s="1"/>
  <c r="E87" i="2" s="1"/>
  <c r="AE71" i="1" a="1"/>
  <c r="AE71" i="1" s="1"/>
  <c r="F87" i="2" s="1"/>
  <c r="AF71" i="1" a="1"/>
  <c r="AF71" i="1" s="1"/>
  <c r="G87" i="2" s="1"/>
  <c r="AG71" i="1" a="1"/>
  <c r="AG71" i="1" s="1"/>
  <c r="H87" i="2" s="1"/>
  <c r="AH71" i="1" a="1"/>
  <c r="AH71" i="1" s="1"/>
  <c r="I87" i="2" s="1"/>
  <c r="AC71" i="1" a="1"/>
  <c r="AC71" i="1" s="1"/>
  <c r="D87" i="2" s="1"/>
  <c r="V71" i="1" a="1"/>
  <c r="V71" i="1" s="1"/>
  <c r="E84" i="2" s="1"/>
  <c r="W71" i="1" a="1"/>
  <c r="W71" i="1" s="1"/>
  <c r="F84" i="2" s="1"/>
  <c r="X71" i="1" a="1"/>
  <c r="X71" i="1" s="1"/>
  <c r="G84" i="2" s="1"/>
  <c r="Y71" i="1" a="1"/>
  <c r="Y71" i="1" s="1"/>
  <c r="H84" i="2" s="1"/>
  <c r="Z71" i="1" a="1"/>
  <c r="Z71" i="1" s="1"/>
  <c r="I84" i="2" s="1"/>
  <c r="U71" i="1" a="1"/>
  <c r="U71" i="1" s="1"/>
  <c r="D84" i="2" s="1"/>
  <c r="N71" i="1" a="1"/>
  <c r="N71" i="1" s="1"/>
  <c r="E81" i="2" s="1"/>
  <c r="O71" i="1" a="1"/>
  <c r="O71" i="1" s="1"/>
  <c r="F81" i="2" s="1"/>
  <c r="P71" i="1" a="1"/>
  <c r="P71" i="1" s="1"/>
  <c r="G81" i="2" s="1"/>
  <c r="Q71" i="1" a="1"/>
  <c r="Q71" i="1" s="1"/>
  <c r="H81" i="2" s="1"/>
  <c r="R71" i="1" a="1"/>
  <c r="R71" i="1" s="1"/>
  <c r="I81" i="2" s="1"/>
  <c r="M71" i="1" a="1"/>
  <c r="M71" i="1" s="1"/>
  <c r="D81" i="2" s="1"/>
  <c r="H71" i="1" a="1"/>
  <c r="H71" i="1" s="1"/>
  <c r="G78" i="2" s="1"/>
  <c r="I71" i="1" a="1"/>
  <c r="I71" i="1" s="1"/>
  <c r="H78" i="2" s="1"/>
  <c r="J71" i="1" a="1"/>
  <c r="J71" i="1" s="1"/>
  <c r="I78" i="2" s="1"/>
  <c r="G71" i="1" a="1"/>
  <c r="G71" i="1" s="1"/>
  <c r="F78" i="2" s="1"/>
  <c r="F71" i="1" a="1"/>
  <c r="F71" i="1" s="1"/>
  <c r="E78" i="2" s="1"/>
  <c r="E71" i="1" a="1"/>
  <c r="E71" i="1" s="1"/>
  <c r="D78" i="2" s="1"/>
  <c r="AD35" i="1" a="1"/>
  <c r="AD35" i="1" s="1"/>
  <c r="E19" i="2" s="1"/>
  <c r="V35" i="1" a="1"/>
  <c r="V35" i="1" s="1"/>
  <c r="E16" i="2" s="1"/>
  <c r="N35" i="1" a="1"/>
  <c r="N35" i="1" s="1"/>
  <c r="E13" i="2" s="1"/>
  <c r="F35" i="1" a="1"/>
  <c r="F35" i="1" s="1"/>
  <c r="E10" i="2" s="1"/>
  <c r="AC35" i="1" a="1"/>
  <c r="AC35" i="1" s="1"/>
  <c r="D19" i="2" s="1"/>
  <c r="AE35" i="1" a="1"/>
  <c r="AE35" i="1" s="1"/>
  <c r="F19" i="2" s="1"/>
  <c r="AF35" i="1" a="1"/>
  <c r="AF35" i="1" s="1"/>
  <c r="G19" i="2" s="1"/>
  <c r="AG35" i="1" a="1"/>
  <c r="AG35" i="1" s="1"/>
  <c r="H19" i="2" s="1"/>
  <c r="AH35" i="1" a="1"/>
  <c r="AH35" i="1" s="1"/>
  <c r="I19" i="2" s="1"/>
  <c r="Z35" i="1" a="1"/>
  <c r="Z35" i="1" s="1"/>
  <c r="I16" i="2" s="1"/>
  <c r="U35" i="1" a="1"/>
  <c r="U35" i="1" s="1"/>
  <c r="D16" i="2" s="1"/>
  <c r="W35" i="1" a="1"/>
  <c r="W35" i="1" s="1"/>
  <c r="F16" i="2" s="1"/>
  <c r="X35" i="1" a="1"/>
  <c r="X35" i="1" s="1"/>
  <c r="G16" i="2" s="1"/>
  <c r="Y35" i="1" a="1"/>
  <c r="Y35" i="1" s="1"/>
  <c r="H16" i="2" s="1"/>
  <c r="M35" i="1" a="1"/>
  <c r="M35" i="1" s="1"/>
  <c r="D13" i="2" s="1"/>
  <c r="I35" i="1" a="1"/>
  <c r="I35" i="1" s="1"/>
  <c r="H10" i="2" s="1"/>
  <c r="J35" i="1" a="1"/>
  <c r="J35" i="1" s="1"/>
  <c r="I10" i="2" s="1"/>
  <c r="O35" i="1" a="1"/>
  <c r="O35" i="1" s="1"/>
  <c r="F13" i="2" s="1"/>
  <c r="P35" i="1" a="1"/>
  <c r="P35" i="1" s="1"/>
  <c r="G13" i="2" s="1"/>
  <c r="Q35" i="1" a="1"/>
  <c r="Q35" i="1" s="1"/>
  <c r="H13" i="2" s="1"/>
  <c r="R35" i="1" a="1"/>
  <c r="R35" i="1" s="1"/>
  <c r="I13" i="2" s="1"/>
  <c r="G35" i="1" a="1"/>
  <c r="G35" i="1" s="1"/>
  <c r="F10" i="2" s="1"/>
  <c r="H35" i="1" a="1"/>
  <c r="H35" i="1" s="1"/>
  <c r="G10" i="2" s="1"/>
  <c r="E35" i="1" a="1"/>
  <c r="E35" i="1" s="1"/>
  <c r="D119" i="3" a="1"/>
  <c r="D119" i="3" s="1"/>
  <c r="D81" i="3" a="1"/>
  <c r="D81" i="3" s="1"/>
  <c r="D43" i="3" a="1"/>
  <c r="D43" i="3" s="1"/>
  <c r="D5" i="3" a="1"/>
  <c r="D5" i="3" s="1"/>
  <c r="G223" i="2"/>
  <c r="M213" i="2"/>
  <c r="I152" i="2"/>
  <c r="M145" i="2"/>
  <c r="M77" i="2"/>
  <c r="M9" i="2"/>
  <c r="H222" i="2" l="1"/>
  <c r="E123" i="3" a="1"/>
  <c r="E123" i="3" s="1"/>
  <c r="F222" i="2"/>
  <c r="G222" i="2"/>
  <c r="E222" i="2"/>
  <c r="I222" i="2"/>
  <c r="H219" i="2"/>
  <c r="G219" i="2"/>
  <c r="F219" i="2"/>
  <c r="I219" i="2"/>
  <c r="E85" i="3" a="1"/>
  <c r="E85" i="3" s="1"/>
  <c r="E219" i="2"/>
  <c r="G216" i="2"/>
  <c r="E47" i="3" a="1"/>
  <c r="E47" i="3" s="1"/>
  <c r="F216" i="2"/>
  <c r="H216" i="2"/>
  <c r="I216" i="2"/>
  <c r="E216" i="2"/>
  <c r="G213" i="2"/>
  <c r="E9" i="3" a="1"/>
  <c r="E9" i="3" s="1"/>
  <c r="H154" i="2"/>
  <c r="E122" i="3" a="1"/>
  <c r="E122" i="3" s="1"/>
  <c r="G154" i="2"/>
  <c r="F154" i="2"/>
  <c r="E154" i="2"/>
  <c r="I154" i="2"/>
  <c r="I151" i="2"/>
  <c r="H151" i="2"/>
  <c r="G151" i="2"/>
  <c r="F151" i="2"/>
  <c r="E84" i="3" a="1"/>
  <c r="E84" i="3" s="1"/>
  <c r="E151" i="2"/>
  <c r="H148" i="2"/>
  <c r="E46" i="3" a="1"/>
  <c r="E46" i="3" s="1"/>
  <c r="E8" i="3" a="1"/>
  <c r="E8" i="3" s="1"/>
  <c r="H86" i="2"/>
  <c r="G86" i="2"/>
  <c r="I86" i="2"/>
  <c r="F86" i="2"/>
  <c r="E121" i="3" a="1"/>
  <c r="E121" i="3" s="1"/>
  <c r="E86" i="2"/>
  <c r="I83" i="2"/>
  <c r="G83" i="2"/>
  <c r="F83" i="2"/>
  <c r="E83" i="2"/>
  <c r="H83" i="2"/>
  <c r="E83" i="3" a="1"/>
  <c r="E83" i="3" s="1"/>
  <c r="G80" i="2"/>
  <c r="E45" i="3" a="1"/>
  <c r="E45" i="3" s="1"/>
  <c r="H80" i="2"/>
  <c r="I80" i="2"/>
  <c r="E80" i="2"/>
  <c r="F80" i="2"/>
  <c r="E77" i="2"/>
  <c r="E7" i="3" a="1"/>
  <c r="E7" i="3" s="1"/>
  <c r="G77" i="2"/>
  <c r="P77" i="2" s="1"/>
  <c r="H18" i="2"/>
  <c r="G18" i="2"/>
  <c r="F18" i="2"/>
  <c r="E18" i="2"/>
  <c r="E120" i="3" a="1"/>
  <c r="E120" i="3" s="1"/>
  <c r="I18" i="2"/>
  <c r="I15" i="2"/>
  <c r="G15" i="2"/>
  <c r="F15" i="2"/>
  <c r="H15" i="2"/>
  <c r="I12" i="2"/>
  <c r="H12" i="2"/>
  <c r="F12" i="2"/>
  <c r="E12" i="2"/>
  <c r="G12" i="2"/>
  <c r="E82" i="3" a="1"/>
  <c r="E82" i="3" s="1"/>
  <c r="E15" i="2"/>
  <c r="E44" i="3" a="1"/>
  <c r="E44" i="3" s="1"/>
  <c r="D10" i="2"/>
  <c r="G9" i="2" s="1"/>
  <c r="E6" i="3" a="1"/>
  <c r="E6" i="3" s="1"/>
  <c r="I9" i="2"/>
  <c r="R9" i="2" s="1"/>
  <c r="E9" i="2"/>
  <c r="F9" i="2"/>
  <c r="H9" i="2"/>
  <c r="I213" i="2"/>
  <c r="F213" i="2"/>
  <c r="H213" i="2"/>
  <c r="Q213" i="2" s="1"/>
  <c r="E213" i="2"/>
  <c r="I148" i="2"/>
  <c r="F148" i="2"/>
  <c r="G148" i="2"/>
  <c r="E148" i="2"/>
  <c r="H145" i="2"/>
  <c r="Q145" i="2" s="1"/>
  <c r="E145" i="2"/>
  <c r="G145" i="2"/>
  <c r="I145" i="2"/>
  <c r="F145" i="2"/>
  <c r="H77" i="2"/>
  <c r="I77" i="2"/>
  <c r="F77" i="2"/>
  <c r="P213" i="2" l="1"/>
  <c r="O213" i="2"/>
  <c r="R213" i="2"/>
  <c r="N213" i="2"/>
  <c r="P145" i="2"/>
  <c r="N145" i="2"/>
  <c r="Q77" i="2"/>
  <c r="O77" i="2"/>
  <c r="R77" i="2"/>
  <c r="N77" i="2"/>
  <c r="Q9" i="2"/>
  <c r="O9" i="2"/>
  <c r="P9" i="2"/>
  <c r="N9" i="2"/>
  <c r="O145" i="2"/>
  <c r="R14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<sst xmlns="http://schemas.openxmlformats.org/spreadsheetml/2006/main" count="444" uniqueCount="64">
  <si>
    <t>CLÁSICA FORK (tiempos en microsegundos)</t>
  </si>
  <si>
    <t>MATRIZ 600 X 600</t>
  </si>
  <si>
    <t>1 hilo</t>
  </si>
  <si>
    <t>2 hilos</t>
  </si>
  <si>
    <t>4 hilos</t>
  </si>
  <si>
    <t>8 hilos</t>
  </si>
  <si>
    <t>12 hilos</t>
  </si>
  <si>
    <t>32 hilos</t>
  </si>
  <si>
    <t>MATRIZ 1200 x 1200</t>
  </si>
  <si>
    <t>MATRIZ 2400 x 2400</t>
  </si>
  <si>
    <t>MATRIZ 4800 x 4800</t>
  </si>
  <si>
    <t>Repetición #1</t>
  </si>
  <si>
    <t>Repetición #2</t>
  </si>
  <si>
    <t>Repetición #3</t>
  </si>
  <si>
    <t>Repetición #4</t>
  </si>
  <si>
    <t>Repetición #5</t>
  </si>
  <si>
    <t>Repetición #6</t>
  </si>
  <si>
    <t>Repetición #7</t>
  </si>
  <si>
    <t>Repetición #8</t>
  </si>
  <si>
    <t>Repetición #9</t>
  </si>
  <si>
    <t>Repetición #10</t>
  </si>
  <si>
    <t>Repetición #11</t>
  </si>
  <si>
    <t>Repetición #12</t>
  </si>
  <si>
    <t>Repetición #13</t>
  </si>
  <si>
    <t>Repetición #14</t>
  </si>
  <si>
    <t>Repetición #15</t>
  </si>
  <si>
    <t>Repetición #16</t>
  </si>
  <si>
    <t>Repetición #17</t>
  </si>
  <si>
    <t>Repetición #18</t>
  </si>
  <si>
    <t>Repetición #19</t>
  </si>
  <si>
    <t>Repetición #20</t>
  </si>
  <si>
    <t>Repetición #21</t>
  </si>
  <si>
    <t>Repetición #22</t>
  </si>
  <si>
    <t>Repetición #23</t>
  </si>
  <si>
    <t>Repetición #24</t>
  </si>
  <si>
    <t>Repetición #25</t>
  </si>
  <si>
    <t>Repetición #26</t>
  </si>
  <si>
    <t>Repetición #27</t>
  </si>
  <si>
    <t>Repetición #28</t>
  </si>
  <si>
    <t>Repetición #29</t>
  </si>
  <si>
    <t>Repetición #30</t>
  </si>
  <si>
    <t>PROMEDIO</t>
  </si>
  <si>
    <t>CLÁSICA OPENMP (tiempos en microsegundos)</t>
  </si>
  <si>
    <t>CLÁSICA POSIX (tiempos en microsegundos)</t>
  </si>
  <si>
    <t>FILAS OPENMP (tiempos en microsegundos)</t>
  </si>
  <si>
    <t># Hilos</t>
  </si>
  <si>
    <t>SpeedUp Matrices 600 x 600</t>
  </si>
  <si>
    <t>Speed Up Promedio</t>
  </si>
  <si>
    <t>Promedio Matrices 600 x 600</t>
  </si>
  <si>
    <t>SpeedUp Matrices 1200 x 1200</t>
  </si>
  <si>
    <t>Promedio Matrices 1200 x 1200</t>
  </si>
  <si>
    <t>SpeedUp Matrices 2400 x 2400</t>
  </si>
  <si>
    <t>Promedio Matrices 2400 x 2400</t>
  </si>
  <si>
    <t>SpeedUp Matrices 4800 x 4800</t>
  </si>
  <si>
    <t>Promedio Matrices 4800 x 4800</t>
  </si>
  <si>
    <t>MATRICES 600 X 600</t>
  </si>
  <si>
    <t>Algoritmo</t>
  </si>
  <si>
    <t>Clásica Fork</t>
  </si>
  <si>
    <t>Clásica OpenMP</t>
  </si>
  <si>
    <t>Clásica POSIX</t>
  </si>
  <si>
    <t>Filas OpenMP</t>
  </si>
  <si>
    <t>MATRICES 1200 X 1200</t>
  </si>
  <si>
    <t>MATRICES 2400 X 2400</t>
  </si>
  <si>
    <t>MATRICES 4800 X 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</si>
</sst>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/>
      <diagonal/>
    </border>
    <border>
      <left/>
      <right/>
      <top style="medium">
        <color theme="1" tint="4.9989318521683403E-2"/>
      </top>
      <bottom/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/>
      <top/>
      <bottom/>
      <diagonal/>
    </border>
    <border>
      <left/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/>
      <top/>
      <bottom style="medium">
        <color theme="1" tint="4.9989318521683403E-2"/>
      </bottom>
      <diagonal/>
    </border>
    <border>
      <left/>
      <right/>
      <top/>
      <bottom style="medium">
        <color theme="1" tint="4.9989318521683403E-2"/>
      </bottom>
      <diagonal/>
    </border>
    <border>
      <left/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medium">
        <color rgb="FFC00000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0" xfId="0" applyFont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5" fillId="2" borderId="0" xfId="0" applyFont="1" applyFill="1"/>
    <xf numFmtId="0" fontId="0" fillId="2" borderId="0" xfId="0" applyFill="1"/>
    <xf numFmtId="0" fontId="0" fillId="2" borderId="19" xfId="0" applyFill="1" applyBorder="1"/>
    <xf numFmtId="0" fontId="4" fillId="2" borderId="0" xfId="0" applyFont="1" applyFill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0" xfId="0" applyFill="1" applyAlignment="1">
      <alignment textRotation="45"/>
    </xf>
    <xf numFmtId="0" fontId="1" fillId="2" borderId="0" xfId="0" applyFont="1" applyFill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3" fillId="3" borderId="4" xfId="0" applyFont="1" applyFill="1" applyBorder="1"/>
    <xf numFmtId="0" fontId="3" fillId="3" borderId="0" xfId="0" applyFont="1" applyFill="1"/>
    <xf numFmtId="0" fontId="0" fillId="3" borderId="0" xfId="0" applyFill="1"/>
    <xf numFmtId="0" fontId="0" fillId="3" borderId="5" xfId="0" applyFill="1" applyBorder="1"/>
    <xf numFmtId="0" fontId="0" fillId="3" borderId="4" xfId="0" applyFill="1" applyBorder="1"/>
    <xf numFmtId="0" fontId="0" fillId="3" borderId="12" xfId="0" applyFill="1" applyBorder="1"/>
    <xf numFmtId="0" fontId="0" fillId="3" borderId="13" xfId="0" applyFill="1" applyBorder="1"/>
    <xf numFmtId="0" fontId="3" fillId="3" borderId="14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6" fillId="3" borderId="4" xfId="0" applyFont="1" applyFill="1" applyBorder="1"/>
    <xf numFmtId="0" fontId="6" fillId="3" borderId="6" xfId="0" applyFont="1" applyFill="1" applyBorder="1"/>
    <xf numFmtId="0" fontId="6" fillId="0" borderId="0" xfId="0" applyFont="1"/>
    <xf numFmtId="0" fontId="5" fillId="3" borderId="1" xfId="0" applyFont="1" applyFill="1" applyBorder="1"/>
    <xf numFmtId="0" fontId="4" fillId="3" borderId="4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7" fillId="3" borderId="14" xfId="0" applyFont="1" applyFill="1" applyBorder="1"/>
    <xf numFmtId="0" fontId="4" fillId="3" borderId="7" xfId="0" applyFont="1" applyFill="1" applyBorder="1"/>
    <xf numFmtId="0" fontId="7" fillId="3" borderId="2" xfId="0" applyFont="1" applyFill="1" applyBorder="1"/>
    <xf numFmtId="0" fontId="7" fillId="3" borderId="0" xfId="0" applyFont="1" applyFill="1"/>
    <xf numFmtId="0" fontId="0" fillId="3" borderId="23" xfId="0" applyFill="1" applyBorder="1"/>
    <xf numFmtId="0" fontId="4" fillId="3" borderId="0" xfId="0" applyFont="1" applyFill="1"/>
    <xf numFmtId="0" fontId="0" fillId="3" borderId="24" xfId="0" applyFill="1" applyBorder="1"/>
    <xf numFmtId="0" fontId="4" fillId="3" borderId="9" xfId="0" applyFont="1" applyFill="1" applyBorder="1" applyAlignment="1">
      <alignment horizontal="right"/>
    </xf>
    <xf numFmtId="0" fontId="8" fillId="2" borderId="0" xfId="0" applyFont="1" applyFill="1"/>
    <xf numFmtId="0" fontId="4" fillId="3" borderId="10" xfId="0" applyFont="1" applyFill="1" applyBorder="1" applyAlignment="1">
      <alignment horizontal="right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vertical="center"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600 x 600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SpeedUp'!$C$9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SpeedUp'!$D$8:$I$8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SpeedUp'!$D$9:$I$9</c:f>
              <c:numCache>
                <c:formatCode>General</c:formatCode>
                <c:ptCount val="6"/>
                <c:pt idx="0">
                  <c:v>1</c:v>
                </c:pt>
                <c:pt idx="1">
                  <c:v>1.9102637282270363</c:v>
                </c:pt>
                <c:pt idx="2">
                  <c:v>3.7440588045064809</c:v>
                </c:pt>
                <c:pt idx="3">
                  <c:v>7.1492539804399344</c:v>
                </c:pt>
                <c:pt idx="4">
                  <c:v>5.5621502304745825</c:v>
                </c:pt>
                <c:pt idx="5">
                  <c:v>6.6795933323977481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2-4E56-B12B-718382CB67B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SpeedUp'!$C$12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SpeedUp'!$D$11:$I$11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SpeedUp'!$D$12:$I$12</c:f>
              <c:numCache>
                <c:formatCode>General</c:formatCode>
                <c:ptCount val="6"/>
                <c:pt idx="0">
                  <c:v>1</c:v>
                </c:pt>
                <c:pt idx="1">
                  <c:v>1.9289150653278586</c:v>
                </c:pt>
                <c:pt idx="2">
                  <c:v>3.8228338678323333</c:v>
                </c:pt>
                <c:pt idx="3">
                  <c:v>6.6378774582550353</c:v>
                </c:pt>
                <c:pt idx="4">
                  <c:v>6.0296346790573443</c:v>
                </c:pt>
                <c:pt idx="5">
                  <c:v>5.7336591147810765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AB-4E5A-8B97-278A9D71801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SpeedUp'!$D$14:$I$14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SpeedUp'!$D$15:$I$15</c:f>
              <c:numCache>
                <c:formatCode>General</c:formatCode>
                <c:ptCount val="6"/>
                <c:pt idx="0">
                  <c:v>1</c:v>
                </c:pt>
                <c:pt idx="1">
                  <c:v>1.9988426921260334</c:v>
                </c:pt>
                <c:pt idx="2">
                  <c:v>4.0591750361587629</c:v>
                </c:pt>
                <c:pt idx="3">
                  <c:v>7.12087436327805</c:v>
                </c:pt>
                <c:pt idx="4">
                  <c:v>7.0928412704448549</c:v>
                </c:pt>
                <c:pt idx="5">
                  <c:v>7.7348438226698324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C5-40FE-8793-FF53A49F68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SpeedUp'!$C$18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SpeedUp'!$D$17:$I$17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SpeedUp'!$D$18:$I$18</c:f>
              <c:numCache>
                <c:formatCode>General</c:formatCode>
                <c:ptCount val="6"/>
                <c:pt idx="0">
                  <c:v>1</c:v>
                </c:pt>
                <c:pt idx="1">
                  <c:v>2.2102108166978969</c:v>
                </c:pt>
                <c:pt idx="2">
                  <c:v>4.4399907406262518</c:v>
                </c:pt>
                <c:pt idx="3">
                  <c:v>7.7299946304976235</c:v>
                </c:pt>
                <c:pt idx="4">
                  <c:v>7.638314470212479</c:v>
                </c:pt>
                <c:pt idx="5">
                  <c:v>6.1191700333070305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5E-4F08-96FF-56B6774F016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SpeedUpp</a:t>
            </a:r>
            <a:r>
              <a:rPr lang="en-US" baseline="0"/>
              <a:t> Promedio</a:t>
            </a:r>
            <a:r>
              <a:rPr lang="en-US"/>
              <a:t> vs</a:t>
            </a:r>
            <a:r>
              <a:rPr lang="en-US" baseline="0"/>
              <a:t> Número de Hilos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SpeedUp'!$K$9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SpeedUp'!$L$8:$R$8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SpeedUp'!$L$9:$R$9</c:f>
              <c:numCache>
                <c:formatCode>General</c:formatCode>
                <c:ptCount val="7"/>
                <c:pt idx="1">
                  <c:v>1</c:v>
                </c:pt>
                <c:pt idx="2">
                  <c:v>2.0120580755947062</c:v>
                </c:pt>
                <c:pt idx="3">
                  <c:v>4.0165146122809574</c:v>
                </c:pt>
                <c:pt idx="4">
                  <c:v>7.1595001081176601</c:v>
                </c:pt>
                <c:pt idx="5">
                  <c:v>6.5807351625473149</c:v>
                </c:pt>
                <c:pt idx="6">
                  <c:v>6.5668165757889216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2-4DD0-8A09-0B45463C5F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600 x 600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SpeedUp'!$C$77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SpeedUp'!$D$76:$I$76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SpeedUp'!$D$77:$I$77</c:f>
              <c:numCache>
                <c:formatCode>General</c:formatCode>
                <c:ptCount val="6"/>
                <c:pt idx="0">
                  <c:v>1</c:v>
                </c:pt>
                <c:pt idx="1">
                  <c:v>1.9338106585054602</c:v>
                </c:pt>
                <c:pt idx="2">
                  <c:v>3.7529752120454996</c:v>
                </c:pt>
                <c:pt idx="3">
                  <c:v>7.2145354961028021</c:v>
                </c:pt>
                <c:pt idx="4">
                  <c:v>9.732139812446718</c:v>
                </c:pt>
                <c:pt idx="5">
                  <c:v>9.6656694513434189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40-4D75-9A6A-C379E8DEB34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SpeedUp'!$C$80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SpeedUp'!$D$79:$I$79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SpeedUp'!$D$80:$I$80</c:f>
              <c:numCache>
                <c:formatCode>General</c:formatCode>
                <c:ptCount val="6"/>
                <c:pt idx="0">
                  <c:v>1</c:v>
                </c:pt>
                <c:pt idx="1">
                  <c:v>1.9242892546945198</c:v>
                </c:pt>
                <c:pt idx="2">
                  <c:v>3.8267862012023111</c:v>
                </c:pt>
                <c:pt idx="3">
                  <c:v>6.7463026523864293</c:v>
                </c:pt>
                <c:pt idx="4">
                  <c:v>4.605341765008955</c:v>
                </c:pt>
                <c:pt idx="5">
                  <c:v>2.3543024761618079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E6-47C6-B59A-19AE844D260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SpeedUp'!$C$83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SpeedUp'!$D$82:$I$82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SpeedUp'!$D$83:$I$83</c:f>
              <c:numCache>
                <c:formatCode>General</c:formatCode>
                <c:ptCount val="6"/>
                <c:pt idx="0">
                  <c:v>1</c:v>
                </c:pt>
                <c:pt idx="1">
                  <c:v>1.965781327953313</c:v>
                </c:pt>
                <c:pt idx="2">
                  <c:v>3.9473920429411535</c:v>
                </c:pt>
                <c:pt idx="3">
                  <c:v>6.9339489141905188</c:v>
                </c:pt>
                <c:pt idx="4">
                  <c:v>7.1017809251392805</c:v>
                </c:pt>
                <c:pt idx="5">
                  <c:v>8.1357429190619754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AB-4223-8B36-EC2F6F367B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SpeedUp'!$C$86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SpeedUp'!$D$85:$I$85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SpeedUp'!$D$86:$I$86</c:f>
              <c:numCache>
                <c:formatCode>General</c:formatCode>
                <c:ptCount val="6"/>
                <c:pt idx="0">
                  <c:v>1</c:v>
                </c:pt>
                <c:pt idx="1">
                  <c:v>2.004274459881707</c:v>
                </c:pt>
                <c:pt idx="2">
                  <c:v>4.0203305932451219</c:v>
                </c:pt>
                <c:pt idx="3">
                  <c:v>6.9768260894483252</c:v>
                </c:pt>
                <c:pt idx="4">
                  <c:v>7.6559232505188746</c:v>
                </c:pt>
                <c:pt idx="5">
                  <c:v>8.5562708907793485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D-4D41-AE8B-1F91F9DCA07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SpeedUpp</a:t>
            </a:r>
            <a:r>
              <a:rPr lang="en-US" baseline="0"/>
              <a:t> Promedio</a:t>
            </a:r>
            <a:r>
              <a:rPr lang="en-US"/>
              <a:t> vs</a:t>
            </a:r>
            <a:r>
              <a:rPr lang="en-US" baseline="0"/>
              <a:t> Número de Hilos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SpeedUp'!$K$77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SpeedUp'!$L$76:$R$76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SpeedUp'!$L$77:$R$77</c:f>
              <c:numCache>
                <c:formatCode>General</c:formatCode>
                <c:ptCount val="7"/>
                <c:pt idx="1">
                  <c:v>1</c:v>
                </c:pt>
                <c:pt idx="2">
                  <c:v>1.9570389252587499</c:v>
                </c:pt>
                <c:pt idx="3">
                  <c:v>3.8868710123585215</c:v>
                </c:pt>
                <c:pt idx="4">
                  <c:v>6.9679032880320193</c:v>
                </c:pt>
                <c:pt idx="5">
                  <c:v>7.273796438278457</c:v>
                </c:pt>
                <c:pt idx="6">
                  <c:v>7.1779964343366371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A-40BC-A714-CC3B59A4EFE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600 x 600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SpeedUp'!$C$145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SpeedUp'!$D$144:$I$144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SpeedUp'!$D$145:$I$145</c:f>
              <c:numCache>
                <c:formatCode>General</c:formatCode>
                <c:ptCount val="6"/>
                <c:pt idx="0">
                  <c:v>1</c:v>
                </c:pt>
                <c:pt idx="1">
                  <c:v>1.9095449624180749</c:v>
                </c:pt>
                <c:pt idx="2">
                  <c:v>3.7363695011594862</c:v>
                </c:pt>
                <c:pt idx="3">
                  <c:v>7.1858223094076425</c:v>
                </c:pt>
                <c:pt idx="4">
                  <c:v>5.4024782241494496</c:v>
                </c:pt>
                <c:pt idx="5">
                  <c:v>7.8023666484616783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D-434B-9FAA-2DF724F418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95287520878073"/>
          <c:y val="0.14209099346951093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SpeedUp'!$C$148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SpeedUp'!$D$147:$I$147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SpeedUp'!$D$148:$I$148</c:f>
              <c:numCache>
                <c:formatCode>General</c:formatCode>
                <c:ptCount val="6"/>
                <c:pt idx="0">
                  <c:v>1</c:v>
                </c:pt>
                <c:pt idx="1">
                  <c:v>1.9278782575862414</c:v>
                </c:pt>
                <c:pt idx="2">
                  <c:v>3.8057000019201328</c:v>
                </c:pt>
                <c:pt idx="3">
                  <c:v>6.6872931498277719</c:v>
                </c:pt>
                <c:pt idx="4">
                  <c:v>6.1752886260380908</c:v>
                </c:pt>
                <c:pt idx="5">
                  <c:v>6.187723592810972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D3-4E40-8FD2-C09BA09CF45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SpeedUp'!$C$151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SpeedUp'!$D$150:$I$150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SpeedUp'!$D$151:$I$151</c:f>
              <c:numCache>
                <c:formatCode>General</c:formatCode>
                <c:ptCount val="6"/>
                <c:pt idx="0">
                  <c:v>1</c:v>
                </c:pt>
                <c:pt idx="1">
                  <c:v>1.9939644712762223</c:v>
                </c:pt>
                <c:pt idx="2">
                  <c:v>4.0790173563227574</c:v>
                </c:pt>
                <c:pt idx="3">
                  <c:v>7.1761134835010303</c:v>
                </c:pt>
                <c:pt idx="4">
                  <c:v>7.2355677547794315</c:v>
                </c:pt>
                <c:pt idx="5">
                  <c:v>8.4398461696825144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D8-48CE-8A65-64A7E9A7FD6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SpeedUp'!$C$154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SpeedUp'!$D$153:$I$153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SpeedUp'!$D$154:$I$154</c:f>
              <c:numCache>
                <c:formatCode>General</c:formatCode>
                <c:ptCount val="6"/>
                <c:pt idx="0">
                  <c:v>1</c:v>
                </c:pt>
                <c:pt idx="1">
                  <c:v>2.2471624619245389</c:v>
                </c:pt>
                <c:pt idx="2">
                  <c:v>4.4877431963354493</c:v>
                </c:pt>
                <c:pt idx="3">
                  <c:v>7.7772546876833184</c:v>
                </c:pt>
                <c:pt idx="4">
                  <c:v>7.8363075688605921</c:v>
                </c:pt>
                <c:pt idx="5">
                  <c:v>7.9855829780161613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AC-4502-A19C-A19B8D577BE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SpeedUpp</a:t>
            </a:r>
            <a:r>
              <a:rPr lang="en-US" baseline="0"/>
              <a:t> Promedio</a:t>
            </a:r>
            <a:r>
              <a:rPr lang="en-US"/>
              <a:t> vs</a:t>
            </a:r>
            <a:r>
              <a:rPr lang="en-US" baseline="0"/>
              <a:t> Número de Hilos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86196611787165"/>
          <c:y val="0.13654228927165551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SpeedUp'!$K$145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SpeedUp'!$L$144:$R$144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SpeedUp'!$L$145:$R$145</c:f>
              <c:numCache>
                <c:formatCode>General</c:formatCode>
                <c:ptCount val="7"/>
                <c:pt idx="1">
                  <c:v>1</c:v>
                </c:pt>
                <c:pt idx="2">
                  <c:v>2.0196375383012697</c:v>
                </c:pt>
                <c:pt idx="3">
                  <c:v>4.0272075139344565</c:v>
                </c:pt>
                <c:pt idx="4">
                  <c:v>7.2066209076049406</c:v>
                </c:pt>
                <c:pt idx="5">
                  <c:v>6.6624105434568914</c:v>
                </c:pt>
                <c:pt idx="6">
                  <c:v>7.6038798472428315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A1-4FBC-A264-295997FC47B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600 x 600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SpeedUp'!$C$213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SpeedUp'!$D$212:$I$212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SpeedUp'!$D$213:$I$213</c:f>
              <c:numCache>
                <c:formatCode>General</c:formatCode>
                <c:ptCount val="6"/>
                <c:pt idx="0">
                  <c:v>1</c:v>
                </c:pt>
                <c:pt idx="1">
                  <c:v>1.9486039777399096</c:v>
                </c:pt>
                <c:pt idx="2">
                  <c:v>3.7450701967340767</c:v>
                </c:pt>
                <c:pt idx="3">
                  <c:v>7.2708314806580701</c:v>
                </c:pt>
                <c:pt idx="4">
                  <c:v>10.324599065538578</c:v>
                </c:pt>
                <c:pt idx="5">
                  <c:v>11.3257376367918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85-44F4-81B6-2A85E661010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SpeedUp'!$C$216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SpeedUp'!$D$215:$I$215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SpeedUp'!$D$216:$I$216</c:f>
              <c:numCache>
                <c:formatCode>General</c:formatCode>
                <c:ptCount val="6"/>
                <c:pt idx="0">
                  <c:v>1</c:v>
                </c:pt>
                <c:pt idx="1">
                  <c:v>1.9499866955289786</c:v>
                </c:pt>
                <c:pt idx="2">
                  <c:v>3.8344043080334416</c:v>
                </c:pt>
                <c:pt idx="3">
                  <c:v>6.8819537155010941</c:v>
                </c:pt>
                <c:pt idx="4">
                  <c:v>9.7103382085404455</c:v>
                </c:pt>
                <c:pt idx="5">
                  <c:v>13.486977974970653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58-48B8-BDCA-8502905A148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SpeedUp'!$C$219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SpeedUp'!$D$218:$I$218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SpeedUp'!$D$219:$I$219</c:f>
              <c:numCache>
                <c:formatCode>General</c:formatCode>
                <c:ptCount val="6"/>
                <c:pt idx="0">
                  <c:v>1</c:v>
                </c:pt>
                <c:pt idx="1">
                  <c:v>1.9401542860009675</c:v>
                </c:pt>
                <c:pt idx="2">
                  <c:v>3.8319447732333574</c:v>
                </c:pt>
                <c:pt idx="3">
                  <c:v>6.9455325385866766</c:v>
                </c:pt>
                <c:pt idx="4">
                  <c:v>9.707900049318301</c:v>
                </c:pt>
                <c:pt idx="5">
                  <c:v>11.018354717395985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0A-47B3-A292-5527120C73A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SpeedUp'!$C$222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SpeedUp'!$D$221:$I$221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SpeedUp'!$D$222:$I$222</c:f>
              <c:numCache>
                <c:formatCode>General</c:formatCode>
                <c:ptCount val="6"/>
                <c:pt idx="0">
                  <c:v>1</c:v>
                </c:pt>
                <c:pt idx="1">
                  <c:v>1.9455782764672946</c:v>
                </c:pt>
                <c:pt idx="2">
                  <c:v>3.8732378802039276</c:v>
                </c:pt>
                <c:pt idx="3">
                  <c:v>6.9629564441071832</c:v>
                </c:pt>
                <c:pt idx="4">
                  <c:v>9.7703309241789711</c:v>
                </c:pt>
                <c:pt idx="5">
                  <c:v>5.3885212938410447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32-4B2B-9E58-2850204B01D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SpeedUpp</a:t>
            </a:r>
            <a:r>
              <a:rPr lang="en-US" baseline="0"/>
              <a:t> Promedio</a:t>
            </a:r>
            <a:r>
              <a:rPr lang="en-US"/>
              <a:t> vs</a:t>
            </a:r>
            <a:r>
              <a:rPr lang="en-US" baseline="0"/>
              <a:t> Número de Hilos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SpeedUp'!$K$213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SpeedUp'!$L$212:$R$212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SpeedUp'!$L$213:$R$213</c:f>
              <c:numCache>
                <c:formatCode>General</c:formatCode>
                <c:ptCount val="7"/>
                <c:pt idx="1">
                  <c:v>1</c:v>
                </c:pt>
                <c:pt idx="2">
                  <c:v>1.9460808089342876</c:v>
                </c:pt>
                <c:pt idx="3">
                  <c:v>3.8211642895512004</c:v>
                </c:pt>
                <c:pt idx="4">
                  <c:v>7.0153185447132564</c:v>
                </c:pt>
                <c:pt idx="5">
                  <c:v>9.8782920618940739</c:v>
                </c:pt>
                <c:pt idx="6">
                  <c:v>10.30489790574987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C9-47CC-9036-EC0C2FB94B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promedio de Ejecución VS </a:t>
            </a:r>
            <a:r>
              <a:rPr lang="en-US" baseline="0"/>
              <a:t>Número de Hilos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 m</a:t>
            </a:r>
            <a:r>
              <a:rPr lang="en-US" baseline="0"/>
              <a:t>atrices de 600 x 600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499274472079456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Tiempos'!$D$6</c:f>
              <c:strCache>
                <c:ptCount val="1"/>
                <c:pt idx="0">
                  <c:v>Clásica Fork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Tiempos'!$E$6:$J$6</c:f>
              <c:numCache>
                <c:formatCode>General</c:formatCode>
                <c:ptCount val="6"/>
                <c:pt idx="0">
                  <c:v>428369</c:v>
                </c:pt>
                <c:pt idx="1">
                  <c:v>224246</c:v>
                </c:pt>
                <c:pt idx="2">
                  <c:v>114413</c:v>
                </c:pt>
                <c:pt idx="3">
                  <c:v>59918</c:v>
                </c:pt>
                <c:pt idx="4">
                  <c:v>77015</c:v>
                </c:pt>
                <c:pt idx="5">
                  <c:v>64131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7-4E63-A010-A3B062458423}"/>
            </c:ext>
          </c:extLst>
        </c:ser>
        <c:ser>
          <c:idx val="1"/>
          <c:order val="1"/>
          <c:tx>
            <c:strRef>
              <c:f>'Gráficas Tiempos'!$D$7</c:f>
              <c:strCache>
                <c:ptCount val="1"/>
                <c:pt idx="0">
                  <c:v>Clásica OpenMP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Tiempos'!$E$7:$J$7</c:f>
              <c:numCache>
                <c:formatCode>General</c:formatCode>
                <c:ptCount val="6"/>
                <c:pt idx="0">
                  <c:v>171237</c:v>
                </c:pt>
                <c:pt idx="1">
                  <c:v>88549</c:v>
                </c:pt>
                <c:pt idx="2">
                  <c:v>45627</c:v>
                </c:pt>
                <c:pt idx="3">
                  <c:v>23735</c:v>
                </c:pt>
                <c:pt idx="4">
                  <c:v>17595</c:v>
                </c:pt>
                <c:pt idx="5">
                  <c:v>17716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37-4E63-A010-A3B062458423}"/>
            </c:ext>
          </c:extLst>
        </c:ser>
        <c:ser>
          <c:idx val="2"/>
          <c:order val="2"/>
          <c:tx>
            <c:strRef>
              <c:f>'Gráficas Tiempos'!$D$8</c:f>
              <c:strCache>
                <c:ptCount val="1"/>
                <c:pt idx="0">
                  <c:v>Clásica POSIX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Tiempos'!$E$8:$J$8</c:f>
              <c:numCache>
                <c:formatCode>General</c:formatCode>
                <c:ptCount val="6"/>
                <c:pt idx="0">
                  <c:v>428584</c:v>
                </c:pt>
                <c:pt idx="1">
                  <c:v>224443</c:v>
                </c:pt>
                <c:pt idx="2">
                  <c:v>114706</c:v>
                </c:pt>
                <c:pt idx="3">
                  <c:v>59643</c:v>
                </c:pt>
                <c:pt idx="4">
                  <c:v>79331</c:v>
                </c:pt>
                <c:pt idx="5">
                  <c:v>54930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37-4E63-A010-A3B062458423}"/>
            </c:ext>
          </c:extLst>
        </c:ser>
        <c:ser>
          <c:idx val="3"/>
          <c:order val="3"/>
          <c:tx>
            <c:strRef>
              <c:f>'Gráficas Tiempos'!$D$9</c:f>
              <c:strCache>
                <c:ptCount val="1"/>
                <c:pt idx="0">
                  <c:v>Filas OpenMP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Tiempos'!$E$9:$J$9</c:f>
              <c:numCache>
                <c:formatCode>General</c:formatCode>
                <c:ptCount val="6"/>
                <c:pt idx="0">
                  <c:v>163521</c:v>
                </c:pt>
                <c:pt idx="1">
                  <c:v>83917</c:v>
                </c:pt>
                <c:pt idx="2">
                  <c:v>43663</c:v>
                </c:pt>
                <c:pt idx="3">
                  <c:v>22490</c:v>
                </c:pt>
                <c:pt idx="4">
                  <c:v>15838</c:v>
                </c:pt>
                <c:pt idx="5">
                  <c:v>14438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37-4E63-A010-A3B062458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6943010172723"/>
          <c:y val="0.12677079055874915"/>
          <c:w val="0.12230569898272764"/>
          <c:h val="0.7336166735517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promedio de Ejecución VS </a:t>
            </a:r>
            <a:r>
              <a:rPr lang="en-US" baseline="0"/>
              <a:t>Número de Hilos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 m</a:t>
            </a:r>
            <a:r>
              <a:rPr lang="en-US" baseline="0"/>
              <a:t>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499274472079456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Tiempos'!$D$44</c:f>
              <c:strCache>
                <c:ptCount val="1"/>
                <c:pt idx="0">
                  <c:v>Clásica Fork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Tiempos'!$E$44:$J$44</c:f>
              <c:numCache>
                <c:formatCode>General</c:formatCode>
                <c:ptCount val="6"/>
                <c:pt idx="0">
                  <c:v>4334222</c:v>
                </c:pt>
                <c:pt idx="1">
                  <c:v>2246974</c:v>
                </c:pt>
                <c:pt idx="2">
                  <c:v>1133772</c:v>
                </c:pt>
                <c:pt idx="3">
                  <c:v>652953</c:v>
                </c:pt>
                <c:pt idx="4">
                  <c:v>718820</c:v>
                </c:pt>
                <c:pt idx="5">
                  <c:v>755926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3-42C7-8ABD-FDA636732659}"/>
            </c:ext>
          </c:extLst>
        </c:ser>
        <c:ser>
          <c:idx val="1"/>
          <c:order val="1"/>
          <c:tx>
            <c:strRef>
              <c:f>'Gráficas Tiempos'!$D$45</c:f>
              <c:strCache>
                <c:ptCount val="1"/>
                <c:pt idx="0">
                  <c:v>Clásica OpenMP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Tiempos'!$E$45:$J$45</c:f>
              <c:numCache>
                <c:formatCode>General</c:formatCode>
                <c:ptCount val="6"/>
                <c:pt idx="0">
                  <c:v>1501673</c:v>
                </c:pt>
                <c:pt idx="1">
                  <c:v>780378</c:v>
                </c:pt>
                <c:pt idx="2">
                  <c:v>392411</c:v>
                </c:pt>
                <c:pt idx="3">
                  <c:v>222592</c:v>
                </c:pt>
                <c:pt idx="4">
                  <c:v>326072</c:v>
                </c:pt>
                <c:pt idx="5">
                  <c:v>637842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A3-42C7-8ABD-FDA636732659}"/>
            </c:ext>
          </c:extLst>
        </c:ser>
        <c:ser>
          <c:idx val="2"/>
          <c:order val="2"/>
          <c:tx>
            <c:strRef>
              <c:f>'Gráficas Tiempos'!$D$46</c:f>
              <c:strCache>
                <c:ptCount val="1"/>
                <c:pt idx="0">
                  <c:v>Clásica POSIX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Tiempos'!$E$46:$J$46</c:f>
              <c:numCache>
                <c:formatCode>General</c:formatCode>
                <c:ptCount val="6"/>
                <c:pt idx="0">
                  <c:v>4360396</c:v>
                </c:pt>
                <c:pt idx="1">
                  <c:v>2261759</c:v>
                </c:pt>
                <c:pt idx="2">
                  <c:v>1145754</c:v>
                </c:pt>
                <c:pt idx="3">
                  <c:v>652042</c:v>
                </c:pt>
                <c:pt idx="4">
                  <c:v>706104</c:v>
                </c:pt>
                <c:pt idx="5">
                  <c:v>704685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A3-42C7-8ABD-FDA636732659}"/>
            </c:ext>
          </c:extLst>
        </c:ser>
        <c:ser>
          <c:idx val="3"/>
          <c:order val="3"/>
          <c:tx>
            <c:strRef>
              <c:f>'Gráficas Tiempos'!$D$47</c:f>
              <c:strCache>
                <c:ptCount val="1"/>
                <c:pt idx="0">
                  <c:v>Filas OpenMP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Tiempos'!$E$47:$J$47</c:f>
              <c:numCache>
                <c:formatCode>General</c:formatCode>
                <c:ptCount val="6"/>
                <c:pt idx="0">
                  <c:v>1355738</c:v>
                </c:pt>
                <c:pt idx="1">
                  <c:v>695255</c:v>
                </c:pt>
                <c:pt idx="2">
                  <c:v>353572</c:v>
                </c:pt>
                <c:pt idx="3">
                  <c:v>196999</c:v>
                </c:pt>
                <c:pt idx="4">
                  <c:v>139618</c:v>
                </c:pt>
                <c:pt idx="5">
                  <c:v>100522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A3-42C7-8ABD-FDA636732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6943010172723"/>
          <c:y val="0.12677079055874915"/>
          <c:w val="0.12230569898272764"/>
          <c:h val="0.7336166735517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promedio de Ejecución VS </a:t>
            </a:r>
            <a:r>
              <a:rPr lang="en-US" baseline="0"/>
              <a:t>Número de Hilos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</a:t>
            </a:r>
            <a:r>
              <a:rPr lang="en-US" baseline="0"/>
              <a:t>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499274472079456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Tiempos'!$D$82</c:f>
              <c:strCache>
                <c:ptCount val="1"/>
                <c:pt idx="0">
                  <c:v>Clásica Fork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Tiempos'!$E$82:$J$82</c:f>
              <c:numCache>
                <c:formatCode>General</c:formatCode>
                <c:ptCount val="6"/>
                <c:pt idx="0">
                  <c:v>59688529</c:v>
                </c:pt>
                <c:pt idx="1">
                  <c:v>29861544</c:v>
                </c:pt>
                <c:pt idx="2">
                  <c:v>14704596</c:v>
                </c:pt>
                <c:pt idx="3">
                  <c:v>8382191</c:v>
                </c:pt>
                <c:pt idx="4">
                  <c:v>8415320</c:v>
                </c:pt>
                <c:pt idx="5">
                  <c:v>7716837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5-4E02-809F-1823FB8DA9D1}"/>
            </c:ext>
          </c:extLst>
        </c:ser>
        <c:ser>
          <c:idx val="1"/>
          <c:order val="1"/>
          <c:tx>
            <c:strRef>
              <c:f>'Gráficas Tiempos'!$D$83</c:f>
              <c:strCache>
                <c:ptCount val="1"/>
                <c:pt idx="0">
                  <c:v>Clásica OpenMP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Tiempos'!$E$83:$J$83</c:f>
              <c:numCache>
                <c:formatCode>General</c:formatCode>
                <c:ptCount val="6"/>
                <c:pt idx="0">
                  <c:v>51337148</c:v>
                </c:pt>
                <c:pt idx="1">
                  <c:v>26115391</c:v>
                </c:pt>
                <c:pt idx="2">
                  <c:v>13005333</c:v>
                </c:pt>
                <c:pt idx="3">
                  <c:v>7403739</c:v>
                </c:pt>
                <c:pt idx="4">
                  <c:v>7228771</c:v>
                </c:pt>
                <c:pt idx="5">
                  <c:v>6310075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45-4E02-809F-1823FB8DA9D1}"/>
            </c:ext>
          </c:extLst>
        </c:ser>
        <c:ser>
          <c:idx val="2"/>
          <c:order val="2"/>
          <c:tx>
            <c:strRef>
              <c:f>'Gráficas Tiempos'!$D$84</c:f>
              <c:strCache>
                <c:ptCount val="1"/>
                <c:pt idx="0">
                  <c:v>Clásica POSIX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Tiempos'!$E$84:$J$84</c:f>
              <c:numCache>
                <c:formatCode>General</c:formatCode>
                <c:ptCount val="6"/>
                <c:pt idx="0">
                  <c:v>60263329</c:v>
                </c:pt>
                <c:pt idx="1">
                  <c:v>30222870</c:v>
                </c:pt>
                <c:pt idx="2">
                  <c:v>14773982</c:v>
                </c:pt>
                <c:pt idx="3">
                  <c:v>8397767</c:v>
                </c:pt>
                <c:pt idx="4">
                  <c:v>8328763</c:v>
                </c:pt>
                <c:pt idx="5">
                  <c:v>7140335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45-4E02-809F-1823FB8DA9D1}"/>
            </c:ext>
          </c:extLst>
        </c:ser>
        <c:ser>
          <c:idx val="3"/>
          <c:order val="3"/>
          <c:tx>
            <c:strRef>
              <c:f>'Gráficas Tiempos'!$D$85</c:f>
              <c:strCache>
                <c:ptCount val="1"/>
                <c:pt idx="0">
                  <c:v>Filas OpenMP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Tiempos'!$E$85:$J$85</c:f>
              <c:numCache>
                <c:formatCode>General</c:formatCode>
                <c:ptCount val="6"/>
                <c:pt idx="0">
                  <c:v>12027030</c:v>
                </c:pt>
                <c:pt idx="1">
                  <c:v>6199007</c:v>
                </c:pt>
                <c:pt idx="2">
                  <c:v>3138623</c:v>
                </c:pt>
                <c:pt idx="3">
                  <c:v>1731621</c:v>
                </c:pt>
                <c:pt idx="4">
                  <c:v>1238891</c:v>
                </c:pt>
                <c:pt idx="5">
                  <c:v>1091545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45-4E02-809F-1823FB8DA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6943010172723"/>
          <c:y val="0.12677079055874915"/>
          <c:w val="0.12230569898272764"/>
          <c:h val="0.7336166735517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promedio de Ejecución VS </a:t>
            </a:r>
            <a:r>
              <a:rPr lang="en-US" baseline="0"/>
              <a:t>Número de Hilos para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499274472079456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Tiempos'!$D$120</c:f>
              <c:strCache>
                <c:ptCount val="1"/>
                <c:pt idx="0">
                  <c:v>Clásica Fork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Tiempos'!$E$120:$J$120</c:f>
              <c:numCache>
                <c:formatCode>General</c:formatCode>
                <c:ptCount val="6"/>
                <c:pt idx="0">
                  <c:v>611877859</c:v>
                </c:pt>
                <c:pt idx="1">
                  <c:v>276841401</c:v>
                </c:pt>
                <c:pt idx="2">
                  <c:v>137810616</c:v>
                </c:pt>
                <c:pt idx="3">
                  <c:v>79156311</c:v>
                </c:pt>
                <c:pt idx="4">
                  <c:v>80106398</c:v>
                </c:pt>
                <c:pt idx="5">
                  <c:v>99993603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5A-4824-A776-656C04E10B8E}"/>
            </c:ext>
          </c:extLst>
        </c:ser>
        <c:ser>
          <c:idx val="1"/>
          <c:order val="1"/>
          <c:tx>
            <c:strRef>
              <c:f>'Gráficas Tiempos'!$D$121</c:f>
              <c:strCache>
                <c:ptCount val="1"/>
                <c:pt idx="0">
                  <c:v>Clásica OpenMP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Tiempos'!$E$121:$J$121</c:f>
              <c:numCache>
                <c:formatCode>General</c:formatCode>
                <c:ptCount val="6"/>
                <c:pt idx="0">
                  <c:v>584694243</c:v>
                </c:pt>
                <c:pt idx="1">
                  <c:v>291723641</c:v>
                </c:pt>
                <c:pt idx="2">
                  <c:v>145434369</c:v>
                </c:pt>
                <c:pt idx="3">
                  <c:v>83805191</c:v>
                </c:pt>
                <c:pt idx="4">
                  <c:v>76371487</c:v>
                </c:pt>
                <c:pt idx="5">
                  <c:v>68335172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5A-4824-A776-656C04E10B8E}"/>
            </c:ext>
          </c:extLst>
        </c:ser>
        <c:ser>
          <c:idx val="2"/>
          <c:order val="2"/>
          <c:tx>
            <c:strRef>
              <c:f>'Gráficas Tiempos'!$D$122</c:f>
              <c:strCache>
                <c:ptCount val="1"/>
                <c:pt idx="0">
                  <c:v>Clásica POSIX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Tiempos'!$E$122:$J$122</c:f>
              <c:numCache>
                <c:formatCode>General</c:formatCode>
                <c:ptCount val="6"/>
                <c:pt idx="0">
                  <c:v>606742750</c:v>
                </c:pt>
                <c:pt idx="1">
                  <c:v>270003954</c:v>
                </c:pt>
                <c:pt idx="2">
                  <c:v>135199971</c:v>
                </c:pt>
                <c:pt idx="3">
                  <c:v>78015029</c:v>
                </c:pt>
                <c:pt idx="4">
                  <c:v>77427123</c:v>
                </c:pt>
                <c:pt idx="5">
                  <c:v>75979769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5A-4824-A776-656C04E10B8E}"/>
            </c:ext>
          </c:extLst>
        </c:ser>
        <c:ser>
          <c:idx val="3"/>
          <c:order val="3"/>
          <c:tx>
            <c:strRef>
              <c:f>'Gráficas Tiempos'!$D$123</c:f>
              <c:strCache>
                <c:ptCount val="1"/>
                <c:pt idx="0">
                  <c:v>Filas OpenMP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Tiempos'!$E$123:$J$123</c:f>
              <c:numCache>
                <c:formatCode>General</c:formatCode>
                <c:ptCount val="6"/>
                <c:pt idx="0">
                  <c:v>99612598</c:v>
                </c:pt>
                <c:pt idx="1">
                  <c:v>51199481</c:v>
                </c:pt>
                <c:pt idx="2">
                  <c:v>25718172</c:v>
                </c:pt>
                <c:pt idx="3">
                  <c:v>14306078</c:v>
                </c:pt>
                <c:pt idx="4">
                  <c:v>10195417</c:v>
                </c:pt>
                <c:pt idx="5">
                  <c:v>18486073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5A-4824-A776-656C04E10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6943010172723"/>
          <c:y val="0.12677079055874915"/>
          <c:w val="0.12230569898272764"/>
          <c:h val="0.7336166735517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12245</xdr:colOff>
      <xdr:row>20</xdr:row>
      <xdr:rowOff>3392</xdr:rowOff>
    </xdr:from>
    <xdr:to>
      <xdr:col>11</xdr:col>
      <xdr:colOff>758371</xdr:colOff>
      <xdr:row>44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F68465-1518-4B3C-A5D5-6379B26EA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20</xdr:row>
      <xdr:rowOff>1</xdr:rowOff>
    </xdr:from>
    <xdr:to>
      <xdr:col>24</xdr:col>
      <xdr:colOff>0</xdr:colOff>
      <xdr:row>43</xdr:row>
      <xdr:rowOff>178037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C1576D4-C1CF-4234-8548-CE076FAF8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10430</xdr:colOff>
      <xdr:row>45</xdr:row>
      <xdr:rowOff>0</xdr:rowOff>
    </xdr:from>
    <xdr:to>
      <xdr:col>11</xdr:col>
      <xdr:colOff>756479</xdr:colOff>
      <xdr:row>69</xdr:row>
      <xdr:rowOff>5522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9B2D09A-CE6B-4037-80C4-C09630279B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760186</xdr:colOff>
      <xdr:row>45</xdr:row>
      <xdr:rowOff>6350</xdr:rowOff>
    </xdr:from>
    <xdr:to>
      <xdr:col>23</xdr:col>
      <xdr:colOff>755650</xdr:colOff>
      <xdr:row>68</xdr:row>
      <xdr:rowOff>177800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5C468F1-E53F-4847-9260-4C7731912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32</xdr:row>
      <xdr:rowOff>172357</xdr:rowOff>
    </xdr:from>
    <xdr:to>
      <xdr:col>36</xdr:col>
      <xdr:colOff>0</xdr:colOff>
      <xdr:row>57</xdr:row>
      <xdr:rowOff>14941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95920F9-41EF-43DC-80E1-85288AC7B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12245</xdr:colOff>
      <xdr:row>88</xdr:row>
      <xdr:rowOff>3392</xdr:rowOff>
    </xdr:from>
    <xdr:to>
      <xdr:col>11</xdr:col>
      <xdr:colOff>758371</xdr:colOff>
      <xdr:row>112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103AF71-687F-4EBA-A5E3-FB20B2241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88</xdr:row>
      <xdr:rowOff>1</xdr:rowOff>
    </xdr:from>
    <xdr:to>
      <xdr:col>24</xdr:col>
      <xdr:colOff>0</xdr:colOff>
      <xdr:row>111</xdr:row>
      <xdr:rowOff>178037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D1CF69E-0389-48D0-8999-914AF4FCD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10430</xdr:colOff>
      <xdr:row>113</xdr:row>
      <xdr:rowOff>0</xdr:rowOff>
    </xdr:from>
    <xdr:to>
      <xdr:col>11</xdr:col>
      <xdr:colOff>756479</xdr:colOff>
      <xdr:row>137</xdr:row>
      <xdr:rowOff>5522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678BC50-35FD-48CB-A1DC-608FB52E2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760186</xdr:colOff>
      <xdr:row>113</xdr:row>
      <xdr:rowOff>6350</xdr:rowOff>
    </xdr:from>
    <xdr:to>
      <xdr:col>23</xdr:col>
      <xdr:colOff>755650</xdr:colOff>
      <xdr:row>136</xdr:row>
      <xdr:rowOff>177800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5C8C186-03F2-47BE-A7F1-D26F32BA4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743857</xdr:colOff>
      <xdr:row>100</xdr:row>
      <xdr:rowOff>145143</xdr:rowOff>
    </xdr:from>
    <xdr:to>
      <xdr:col>35</xdr:col>
      <xdr:colOff>743857</xdr:colOff>
      <xdr:row>124</xdr:row>
      <xdr:rowOff>169155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9DDE978-282D-40EF-98D9-5513BCEA2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12245</xdr:colOff>
      <xdr:row>156</xdr:row>
      <xdr:rowOff>3392</xdr:rowOff>
    </xdr:from>
    <xdr:to>
      <xdr:col>11</xdr:col>
      <xdr:colOff>758371</xdr:colOff>
      <xdr:row>180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C1F6FC5-AD76-499A-A0C6-0D1930628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156</xdr:row>
      <xdr:rowOff>1</xdr:rowOff>
    </xdr:from>
    <xdr:to>
      <xdr:col>24</xdr:col>
      <xdr:colOff>0</xdr:colOff>
      <xdr:row>179</xdr:row>
      <xdr:rowOff>178037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D95EAF62-3D43-4CFD-AC20-255E78810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10430</xdr:colOff>
      <xdr:row>181</xdr:row>
      <xdr:rowOff>0</xdr:rowOff>
    </xdr:from>
    <xdr:to>
      <xdr:col>11</xdr:col>
      <xdr:colOff>756479</xdr:colOff>
      <xdr:row>205</xdr:row>
      <xdr:rowOff>5522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6B95AD34-BD84-42B1-A2EB-85ADBC8FE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760186</xdr:colOff>
      <xdr:row>181</xdr:row>
      <xdr:rowOff>6350</xdr:rowOff>
    </xdr:from>
    <xdr:to>
      <xdr:col>23</xdr:col>
      <xdr:colOff>755650</xdr:colOff>
      <xdr:row>204</xdr:row>
      <xdr:rowOff>177800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CB1AAD86-FC40-4A09-9627-4CF4E9170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743857</xdr:colOff>
      <xdr:row>168</xdr:row>
      <xdr:rowOff>145143</xdr:rowOff>
    </xdr:from>
    <xdr:to>
      <xdr:col>35</xdr:col>
      <xdr:colOff>743857</xdr:colOff>
      <xdr:row>192</xdr:row>
      <xdr:rowOff>169155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92EC430-5F70-4F28-9D33-D73DCFD5F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12245</xdr:colOff>
      <xdr:row>224</xdr:row>
      <xdr:rowOff>3392</xdr:rowOff>
    </xdr:from>
    <xdr:to>
      <xdr:col>11</xdr:col>
      <xdr:colOff>758371</xdr:colOff>
      <xdr:row>248</xdr:row>
      <xdr:rowOff>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CE7BF2A2-99D6-4215-BCCE-705C294D0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0</xdr:colOff>
      <xdr:row>224</xdr:row>
      <xdr:rowOff>1</xdr:rowOff>
    </xdr:from>
    <xdr:to>
      <xdr:col>24</xdr:col>
      <xdr:colOff>0</xdr:colOff>
      <xdr:row>247</xdr:row>
      <xdr:rowOff>178037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41CDC8F6-4D3B-4D1B-8D42-5CCD78056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10430</xdr:colOff>
      <xdr:row>249</xdr:row>
      <xdr:rowOff>0</xdr:rowOff>
    </xdr:from>
    <xdr:to>
      <xdr:col>11</xdr:col>
      <xdr:colOff>756479</xdr:colOff>
      <xdr:row>273</xdr:row>
      <xdr:rowOff>5522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65F0A8E4-F293-441B-91A7-64A44E911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760186</xdr:colOff>
      <xdr:row>249</xdr:row>
      <xdr:rowOff>6350</xdr:rowOff>
    </xdr:from>
    <xdr:to>
      <xdr:col>23</xdr:col>
      <xdr:colOff>755650</xdr:colOff>
      <xdr:row>272</xdr:row>
      <xdr:rowOff>177800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2805AF3C-EAF8-40C3-AEB1-143FF314D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743857</xdr:colOff>
      <xdr:row>236</xdr:row>
      <xdr:rowOff>145143</xdr:rowOff>
    </xdr:from>
    <xdr:to>
      <xdr:col>35</xdr:col>
      <xdr:colOff>743857</xdr:colOff>
      <xdr:row>260</xdr:row>
      <xdr:rowOff>169155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440FBCDE-C900-4108-9B2A-F9E8BFC1D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-1</xdr:rowOff>
    </xdr:from>
    <xdr:to>
      <xdr:col>14</xdr:col>
      <xdr:colOff>0</xdr:colOff>
      <xdr:row>36</xdr:row>
      <xdr:rowOff>-1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51B22B-6B47-47C4-94A0-80CC9062B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48</xdr:row>
      <xdr:rowOff>0</xdr:rowOff>
    </xdr:from>
    <xdr:to>
      <xdr:col>14</xdr:col>
      <xdr:colOff>0</xdr:colOff>
      <xdr:row>74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30C1AE-A11F-4AEB-863A-AC9AC7E8A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86</xdr:row>
      <xdr:rowOff>0</xdr:rowOff>
    </xdr:from>
    <xdr:to>
      <xdr:col>14</xdr:col>
      <xdr:colOff>0</xdr:colOff>
      <xdr:row>112</xdr:row>
      <xdr:rowOff>-1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9253A1-4A62-4AEC-88C2-55651A0F0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124</xdr:row>
      <xdr:rowOff>0</xdr:rowOff>
    </xdr:from>
    <xdr:to>
      <xdr:col>14</xdr:col>
      <xdr:colOff>0</xdr:colOff>
      <xdr:row>150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DA2641C-1B6A-43C7-860E-AC2DD5353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4F4A-6F75-42C8-AFA7-27988206E9C1}">
  <dimension ref="B1:AI146"/>
  <sheetViews>
    <sheetView zoomScaleNormal="55" workbookViewId="0">
      <selection activeCell="K22" sqref="K22"/>
    </sheetView>
  </sheetViews>
  <sheetFormatPr defaultColWidth="11.42578125" defaultRowHeight="15"/>
  <cols>
    <col min="2" max="2" width="2.42578125" customWidth="1"/>
    <col min="3" max="3" width="24.42578125" customWidth="1"/>
    <col min="4" max="4" width="16.42578125" customWidth="1"/>
    <col min="5" max="5" width="10.85546875" customWidth="1"/>
    <col min="7" max="7" width="10.85546875" customWidth="1"/>
    <col min="11" max="11" width="16.42578125" customWidth="1"/>
    <col min="19" max="19" width="16.42578125" customWidth="1"/>
    <col min="26" max="26" width="10.85546875" customWidth="1"/>
    <col min="27" max="27" width="17.7109375" customWidth="1"/>
    <col min="28" max="28" width="7.42578125" customWidth="1"/>
    <col min="29" max="29" width="17.85546875" customWidth="1"/>
    <col min="30" max="30" width="13.85546875" customWidth="1"/>
    <col min="35" max="35" width="1.85546875" customWidth="1"/>
    <col min="60" max="60" width="4.28515625" customWidth="1"/>
    <col min="67" max="67" width="10.85546875" customWidth="1"/>
  </cols>
  <sheetData>
    <row r="1" spans="2:35" ht="15.95" thickBot="1"/>
    <row r="2" spans="2:35" ht="36.950000000000003">
      <c r="B2" s="32" t="s">
        <v>0</v>
      </c>
      <c r="C2" s="15"/>
      <c r="D2" s="15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7"/>
    </row>
    <row r="3" spans="2:35" ht="15.95" thickBot="1">
      <c r="B3" s="33"/>
      <c r="C3" s="19"/>
      <c r="D3" s="19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1"/>
    </row>
    <row r="4" spans="2:35">
      <c r="B4" s="29"/>
      <c r="C4" s="43" t="s">
        <v>1</v>
      </c>
      <c r="D4" s="34"/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45" t="s">
        <v>8</v>
      </c>
      <c r="L4" s="45"/>
      <c r="M4" s="34" t="s">
        <v>2</v>
      </c>
      <c r="N4" s="34" t="s">
        <v>3</v>
      </c>
      <c r="O4" s="34" t="s">
        <v>4</v>
      </c>
      <c r="P4" s="34" t="s">
        <v>5</v>
      </c>
      <c r="Q4" s="34" t="s">
        <v>6</v>
      </c>
      <c r="R4" s="34" t="s">
        <v>7</v>
      </c>
      <c r="S4" s="45" t="s">
        <v>9</v>
      </c>
      <c r="T4" s="45"/>
      <c r="U4" s="34" t="s">
        <v>2</v>
      </c>
      <c r="V4" s="34" t="s">
        <v>3</v>
      </c>
      <c r="W4" s="34" t="s">
        <v>4</v>
      </c>
      <c r="X4" s="34" t="s">
        <v>5</v>
      </c>
      <c r="Y4" s="34" t="s">
        <v>6</v>
      </c>
      <c r="Z4" s="34" t="s">
        <v>7</v>
      </c>
      <c r="AA4" s="45" t="s">
        <v>10</v>
      </c>
      <c r="AB4" s="45"/>
      <c r="AC4" s="34" t="s">
        <v>2</v>
      </c>
      <c r="AD4" s="34" t="s">
        <v>3</v>
      </c>
      <c r="AE4" s="34" t="s">
        <v>4</v>
      </c>
      <c r="AF4" s="34" t="s">
        <v>5</v>
      </c>
      <c r="AG4" s="34" t="s">
        <v>6</v>
      </c>
      <c r="AH4" s="35" t="s">
        <v>7</v>
      </c>
      <c r="AI4" s="21"/>
    </row>
    <row r="5" spans="2:35">
      <c r="B5" s="29"/>
      <c r="C5" s="23"/>
      <c r="D5" s="41" t="s">
        <v>11</v>
      </c>
      <c r="E5" s="40">
        <v>423137</v>
      </c>
      <c r="F5" s="40">
        <v>224253</v>
      </c>
      <c r="G5" s="40">
        <v>113452</v>
      </c>
      <c r="H5" s="40">
        <v>59629</v>
      </c>
      <c r="I5" s="40">
        <v>78401</v>
      </c>
      <c r="J5" s="40">
        <v>79952</v>
      </c>
      <c r="K5" s="20"/>
      <c r="L5" s="20"/>
      <c r="M5" s="40">
        <v>4436963</v>
      </c>
      <c r="N5" s="40">
        <v>2211686</v>
      </c>
      <c r="O5" s="40">
        <v>1150186</v>
      </c>
      <c r="P5" s="40">
        <v>595622</v>
      </c>
      <c r="Q5" s="40">
        <v>720890</v>
      </c>
      <c r="R5" s="40">
        <v>768850</v>
      </c>
      <c r="S5" s="20"/>
      <c r="T5" s="20"/>
      <c r="U5" s="40">
        <v>59130650</v>
      </c>
      <c r="V5" s="40">
        <v>30712592</v>
      </c>
      <c r="W5" s="40">
        <v>14659844</v>
      </c>
      <c r="X5" s="40">
        <v>8295738</v>
      </c>
      <c r="Y5" s="40">
        <v>8424061</v>
      </c>
      <c r="Z5" s="40">
        <v>7741330</v>
      </c>
      <c r="AA5" s="20"/>
      <c r="AB5" s="20"/>
      <c r="AC5" s="40">
        <v>617807929</v>
      </c>
      <c r="AD5" s="40">
        <v>268075253</v>
      </c>
      <c r="AE5" s="40">
        <v>137897443</v>
      </c>
      <c r="AF5" s="40">
        <v>80204026</v>
      </c>
      <c r="AG5" s="40">
        <v>81470867</v>
      </c>
      <c r="AH5" s="42">
        <v>98205557</v>
      </c>
      <c r="AI5" s="21"/>
    </row>
    <row r="6" spans="2:35">
      <c r="B6" s="29"/>
      <c r="C6" s="23"/>
      <c r="D6" s="41" t="s">
        <v>12</v>
      </c>
      <c r="E6" s="40">
        <v>431518</v>
      </c>
      <c r="F6" s="40">
        <v>225030</v>
      </c>
      <c r="G6" s="40">
        <v>114947</v>
      </c>
      <c r="H6" s="40">
        <v>60322</v>
      </c>
      <c r="I6" s="40">
        <v>78849</v>
      </c>
      <c r="J6" s="40">
        <v>62122</v>
      </c>
      <c r="K6" s="20"/>
      <c r="L6" s="20"/>
      <c r="M6" s="40">
        <v>4365552</v>
      </c>
      <c r="N6" s="40">
        <v>2275746</v>
      </c>
      <c r="O6" s="40">
        <v>1109226</v>
      </c>
      <c r="P6" s="40">
        <v>593549</v>
      </c>
      <c r="Q6" s="40">
        <v>717342</v>
      </c>
      <c r="R6" s="40">
        <v>739356</v>
      </c>
      <c r="S6" s="20"/>
      <c r="T6" s="20"/>
      <c r="U6" s="40">
        <v>59255072</v>
      </c>
      <c r="V6" s="40">
        <v>29516229</v>
      </c>
      <c r="W6" s="40">
        <v>14688032</v>
      </c>
      <c r="X6" s="40">
        <v>8350590</v>
      </c>
      <c r="Y6" s="40">
        <v>8320231</v>
      </c>
      <c r="Z6" s="40">
        <v>7574648</v>
      </c>
      <c r="AA6" s="20"/>
      <c r="AB6" s="20"/>
      <c r="AC6" s="40">
        <v>620643009</v>
      </c>
      <c r="AD6" s="40">
        <v>291945497</v>
      </c>
      <c r="AE6" s="40">
        <v>137985058</v>
      </c>
      <c r="AF6" s="40">
        <v>79731881</v>
      </c>
      <c r="AG6" s="40">
        <v>79370752</v>
      </c>
      <c r="AH6" s="42">
        <v>100882881</v>
      </c>
      <c r="AI6" s="21"/>
    </row>
    <row r="7" spans="2:35">
      <c r="B7" s="29"/>
      <c r="C7" s="23"/>
      <c r="D7" s="41" t="s">
        <v>13</v>
      </c>
      <c r="E7" s="40">
        <v>432200</v>
      </c>
      <c r="F7" s="40">
        <v>222675</v>
      </c>
      <c r="G7" s="40">
        <v>116271</v>
      </c>
      <c r="H7" s="40">
        <v>59761</v>
      </c>
      <c r="I7" s="40">
        <v>77982</v>
      </c>
      <c r="J7" s="40">
        <v>62402</v>
      </c>
      <c r="K7" s="20"/>
      <c r="L7" s="20"/>
      <c r="M7" s="40">
        <v>4436723</v>
      </c>
      <c r="N7" s="40">
        <v>2308966</v>
      </c>
      <c r="O7" s="40">
        <v>1127538</v>
      </c>
      <c r="P7" s="40">
        <v>641428</v>
      </c>
      <c r="Q7" s="40">
        <v>720747</v>
      </c>
      <c r="R7" s="40">
        <v>759231</v>
      </c>
      <c r="S7" s="20"/>
      <c r="T7" s="20"/>
      <c r="U7" s="40">
        <v>59288763</v>
      </c>
      <c r="V7" s="40">
        <v>29439954</v>
      </c>
      <c r="W7" s="40">
        <v>14690684</v>
      </c>
      <c r="X7" s="40">
        <v>8341690</v>
      </c>
      <c r="Y7" s="40">
        <v>8416873</v>
      </c>
      <c r="Z7" s="40">
        <v>7684128</v>
      </c>
      <c r="AA7" s="20"/>
      <c r="AB7" s="20"/>
      <c r="AC7" s="40">
        <v>629328500</v>
      </c>
      <c r="AD7" s="40">
        <v>291113165</v>
      </c>
      <c r="AE7" s="40">
        <v>136642638</v>
      </c>
      <c r="AF7" s="40">
        <v>80903855</v>
      </c>
      <c r="AG7" s="40">
        <v>80967302</v>
      </c>
      <c r="AH7" s="42">
        <v>98366671</v>
      </c>
      <c r="AI7" s="21"/>
    </row>
    <row r="8" spans="2:35">
      <c r="B8" s="29"/>
      <c r="C8" s="23"/>
      <c r="D8" s="41" t="s">
        <v>14</v>
      </c>
      <c r="E8" s="40">
        <v>425587</v>
      </c>
      <c r="F8" s="40">
        <v>221114</v>
      </c>
      <c r="G8" s="40">
        <v>115052</v>
      </c>
      <c r="H8" s="40">
        <v>59669</v>
      </c>
      <c r="I8" s="40">
        <v>77754</v>
      </c>
      <c r="J8" s="40">
        <v>61913</v>
      </c>
      <c r="K8" s="20"/>
      <c r="L8" s="20"/>
      <c r="M8" s="40">
        <v>4361564</v>
      </c>
      <c r="N8" s="40">
        <v>2240407</v>
      </c>
      <c r="O8" s="40">
        <v>1116781</v>
      </c>
      <c r="P8" s="40">
        <v>650747</v>
      </c>
      <c r="Q8" s="40">
        <v>716136</v>
      </c>
      <c r="R8" s="40">
        <v>775175</v>
      </c>
      <c r="S8" s="20"/>
      <c r="T8" s="20"/>
      <c r="U8" s="40">
        <v>59380606</v>
      </c>
      <c r="V8" s="40">
        <v>30544163</v>
      </c>
      <c r="W8" s="40">
        <v>14682602</v>
      </c>
      <c r="X8" s="40">
        <v>8319378</v>
      </c>
      <c r="Y8" s="40">
        <v>8481748</v>
      </c>
      <c r="Z8" s="40">
        <v>7694552</v>
      </c>
      <c r="AA8" s="20"/>
      <c r="AB8" s="20"/>
      <c r="AC8" s="40">
        <v>610557555</v>
      </c>
      <c r="AD8" s="40">
        <v>290611224</v>
      </c>
      <c r="AE8" s="40">
        <v>138059044</v>
      </c>
      <c r="AF8" s="40">
        <v>76919587</v>
      </c>
      <c r="AG8" s="40">
        <v>79467355</v>
      </c>
      <c r="AH8" s="42">
        <v>100361050</v>
      </c>
      <c r="AI8" s="21"/>
    </row>
    <row r="9" spans="2:35">
      <c r="B9" s="29"/>
      <c r="C9" s="23"/>
      <c r="D9" s="41" t="s">
        <v>15</v>
      </c>
      <c r="E9" s="40">
        <v>422961</v>
      </c>
      <c r="F9" s="40">
        <v>227879</v>
      </c>
      <c r="G9" s="40">
        <v>116290</v>
      </c>
      <c r="H9" s="40">
        <v>59726</v>
      </c>
      <c r="I9" s="40">
        <v>75151</v>
      </c>
      <c r="J9" s="40">
        <v>61358</v>
      </c>
      <c r="K9" s="20"/>
      <c r="L9" s="20"/>
      <c r="M9" s="40">
        <v>4263127</v>
      </c>
      <c r="N9" s="40">
        <v>2286357</v>
      </c>
      <c r="O9" s="40">
        <v>1131574</v>
      </c>
      <c r="P9" s="40">
        <v>641304</v>
      </c>
      <c r="Q9" s="40">
        <v>717619</v>
      </c>
      <c r="R9" s="40">
        <v>741553</v>
      </c>
      <c r="S9" s="20"/>
      <c r="T9" s="20"/>
      <c r="U9" s="40">
        <v>59416544</v>
      </c>
      <c r="V9" s="40">
        <v>29486674</v>
      </c>
      <c r="W9" s="40">
        <v>14674332</v>
      </c>
      <c r="X9" s="40">
        <v>8351349</v>
      </c>
      <c r="Y9" s="40">
        <v>8362236</v>
      </c>
      <c r="Z9" s="40">
        <v>7698801</v>
      </c>
      <c r="AA9" s="20"/>
      <c r="AB9" s="20"/>
      <c r="AC9" s="40">
        <v>613655219</v>
      </c>
      <c r="AD9" s="40">
        <v>262453075</v>
      </c>
      <c r="AE9" s="40">
        <v>135776534</v>
      </c>
      <c r="AF9" s="40">
        <v>77490295</v>
      </c>
      <c r="AG9" s="40">
        <v>80675954</v>
      </c>
      <c r="AH9" s="42">
        <v>101167292</v>
      </c>
      <c r="AI9" s="21"/>
    </row>
    <row r="10" spans="2:35">
      <c r="B10" s="29"/>
      <c r="C10" s="23"/>
      <c r="D10" s="41" t="s">
        <v>16</v>
      </c>
      <c r="E10" s="40">
        <v>423569</v>
      </c>
      <c r="F10" s="40">
        <v>224487</v>
      </c>
      <c r="G10" s="40">
        <v>114707</v>
      </c>
      <c r="H10" s="40">
        <v>59713</v>
      </c>
      <c r="I10" s="40">
        <v>78516</v>
      </c>
      <c r="J10" s="40">
        <v>61883</v>
      </c>
      <c r="K10" s="20"/>
      <c r="L10" s="20"/>
      <c r="M10" s="40">
        <v>4438940</v>
      </c>
      <c r="N10" s="40">
        <v>2276246</v>
      </c>
      <c r="O10" s="40">
        <v>1173282</v>
      </c>
      <c r="P10" s="40">
        <v>641453</v>
      </c>
      <c r="Q10" s="40">
        <v>720509</v>
      </c>
      <c r="R10" s="40">
        <v>777672</v>
      </c>
      <c r="S10" s="20"/>
      <c r="T10" s="20"/>
      <c r="U10" s="40">
        <v>59450454</v>
      </c>
      <c r="V10" s="40">
        <v>30629997</v>
      </c>
      <c r="W10" s="40">
        <v>14744472</v>
      </c>
      <c r="X10" s="40">
        <v>8333967</v>
      </c>
      <c r="Y10" s="40">
        <v>8374528</v>
      </c>
      <c r="Z10" s="40">
        <v>7678397</v>
      </c>
      <c r="AA10" s="20"/>
      <c r="AB10" s="20"/>
      <c r="AC10" s="40">
        <v>632890422</v>
      </c>
      <c r="AD10" s="40">
        <v>270399236</v>
      </c>
      <c r="AE10" s="40">
        <v>136959651</v>
      </c>
      <c r="AF10" s="40">
        <v>76716112</v>
      </c>
      <c r="AG10" s="40">
        <v>80683128</v>
      </c>
      <c r="AH10" s="42">
        <v>99953513</v>
      </c>
      <c r="AI10" s="21"/>
    </row>
    <row r="11" spans="2:35">
      <c r="B11" s="29"/>
      <c r="C11" s="23"/>
      <c r="D11" s="41" t="s">
        <v>17</v>
      </c>
      <c r="E11" s="40">
        <v>432288</v>
      </c>
      <c r="F11" s="40">
        <v>223994</v>
      </c>
      <c r="G11" s="40">
        <v>113197</v>
      </c>
      <c r="H11" s="40">
        <v>59874</v>
      </c>
      <c r="I11" s="40">
        <v>75969</v>
      </c>
      <c r="J11" s="40">
        <v>61845</v>
      </c>
      <c r="K11" s="20"/>
      <c r="L11" s="20"/>
      <c r="M11" s="40">
        <v>4432300</v>
      </c>
      <c r="N11" s="40">
        <v>2208106</v>
      </c>
      <c r="O11" s="40">
        <v>1113484</v>
      </c>
      <c r="P11" s="40">
        <v>653640</v>
      </c>
      <c r="Q11" s="40">
        <v>717295</v>
      </c>
      <c r="R11" s="40">
        <v>772634</v>
      </c>
      <c r="S11" s="20"/>
      <c r="T11" s="20"/>
      <c r="U11" s="40">
        <v>59330293</v>
      </c>
      <c r="V11" s="40">
        <v>30826990</v>
      </c>
      <c r="W11" s="40">
        <v>14630721</v>
      </c>
      <c r="X11" s="40">
        <v>8347271</v>
      </c>
      <c r="Y11" s="40">
        <v>8397306</v>
      </c>
      <c r="Z11" s="40">
        <v>7738796</v>
      </c>
      <c r="AA11" s="20"/>
      <c r="AB11" s="20"/>
      <c r="AC11" s="40">
        <v>613082125</v>
      </c>
      <c r="AD11" s="40">
        <v>291049411</v>
      </c>
      <c r="AE11" s="40">
        <v>138371891</v>
      </c>
      <c r="AF11" s="40">
        <v>79927123</v>
      </c>
      <c r="AG11" s="40">
        <v>80052608</v>
      </c>
      <c r="AH11" s="42">
        <v>100363686</v>
      </c>
      <c r="AI11" s="21"/>
    </row>
    <row r="12" spans="2:35">
      <c r="B12" s="29"/>
      <c r="C12" s="23"/>
      <c r="D12" s="41" t="s">
        <v>18</v>
      </c>
      <c r="E12" s="40">
        <v>427792</v>
      </c>
      <c r="F12" s="40">
        <v>226284</v>
      </c>
      <c r="G12" s="40">
        <v>114138</v>
      </c>
      <c r="H12" s="40">
        <v>59906</v>
      </c>
      <c r="I12" s="40">
        <v>79225</v>
      </c>
      <c r="J12" s="40">
        <v>61468</v>
      </c>
      <c r="K12" s="20"/>
      <c r="L12" s="20"/>
      <c r="M12" s="40">
        <v>4284996</v>
      </c>
      <c r="N12" s="40">
        <v>2183883</v>
      </c>
      <c r="O12" s="40">
        <v>1149483</v>
      </c>
      <c r="P12" s="40">
        <v>645924</v>
      </c>
      <c r="Q12" s="40">
        <v>718491</v>
      </c>
      <c r="R12" s="40">
        <v>763284</v>
      </c>
      <c r="S12" s="20"/>
      <c r="T12" s="20"/>
      <c r="U12" s="40">
        <v>58577767</v>
      </c>
      <c r="V12" s="40">
        <v>29394929</v>
      </c>
      <c r="W12" s="40">
        <v>14739578</v>
      </c>
      <c r="X12" s="40">
        <v>8296690</v>
      </c>
      <c r="Y12" s="40">
        <v>8362787</v>
      </c>
      <c r="Z12" s="40">
        <v>7718920</v>
      </c>
      <c r="AA12" s="20"/>
      <c r="AB12" s="20"/>
      <c r="AC12" s="40">
        <v>624540507</v>
      </c>
      <c r="AD12" s="40">
        <v>291344587</v>
      </c>
      <c r="AE12" s="40">
        <v>138394394</v>
      </c>
      <c r="AF12" s="40">
        <v>78791799</v>
      </c>
      <c r="AG12" s="40">
        <v>80569658</v>
      </c>
      <c r="AH12" s="42">
        <v>99268403</v>
      </c>
      <c r="AI12" s="21"/>
    </row>
    <row r="13" spans="2:35">
      <c r="B13" s="29"/>
      <c r="C13" s="23"/>
      <c r="D13" s="41" t="s">
        <v>19</v>
      </c>
      <c r="E13" s="40">
        <v>426419</v>
      </c>
      <c r="F13" s="40">
        <v>223544</v>
      </c>
      <c r="G13" s="40">
        <v>114137</v>
      </c>
      <c r="H13" s="40">
        <v>61195</v>
      </c>
      <c r="I13" s="40">
        <v>78105</v>
      </c>
      <c r="J13" s="40">
        <v>69876</v>
      </c>
      <c r="K13" s="20"/>
      <c r="L13" s="20"/>
      <c r="M13" s="40">
        <v>4234143</v>
      </c>
      <c r="N13" s="40">
        <v>2278551</v>
      </c>
      <c r="O13" s="40">
        <v>1129058</v>
      </c>
      <c r="P13" s="40">
        <v>643208</v>
      </c>
      <c r="Q13" s="40">
        <v>698790</v>
      </c>
      <c r="R13" s="40">
        <v>745881</v>
      </c>
      <c r="S13" s="20"/>
      <c r="T13" s="20"/>
      <c r="U13" s="40">
        <v>59533039</v>
      </c>
      <c r="V13" s="40">
        <v>30649808</v>
      </c>
      <c r="W13" s="40">
        <v>14742227</v>
      </c>
      <c r="X13" s="40">
        <v>8389860</v>
      </c>
      <c r="Y13" s="40">
        <v>8365571</v>
      </c>
      <c r="Z13" s="40">
        <v>7705938</v>
      </c>
      <c r="AA13" s="20"/>
      <c r="AB13" s="20"/>
      <c r="AC13" s="40">
        <v>596982552</v>
      </c>
      <c r="AD13" s="40">
        <v>292883954</v>
      </c>
      <c r="AE13" s="40">
        <v>137913915</v>
      </c>
      <c r="AF13" s="40">
        <v>77099242</v>
      </c>
      <c r="AG13" s="40">
        <v>80196245</v>
      </c>
      <c r="AH13" s="42">
        <v>102168835</v>
      </c>
      <c r="AI13" s="21"/>
    </row>
    <row r="14" spans="2:35">
      <c r="B14" s="29"/>
      <c r="C14" s="23"/>
      <c r="D14" s="41" t="s">
        <v>20</v>
      </c>
      <c r="E14" s="40">
        <v>426919</v>
      </c>
      <c r="F14" s="40">
        <v>222308</v>
      </c>
      <c r="G14" s="40">
        <v>113786</v>
      </c>
      <c r="H14" s="40">
        <v>60275</v>
      </c>
      <c r="I14" s="40">
        <v>60816</v>
      </c>
      <c r="J14" s="40">
        <v>68887</v>
      </c>
      <c r="K14" s="20"/>
      <c r="L14" s="20"/>
      <c r="M14" s="40">
        <v>4293204</v>
      </c>
      <c r="N14" s="40">
        <v>2257367</v>
      </c>
      <c r="O14" s="40">
        <v>1141136</v>
      </c>
      <c r="P14" s="40">
        <v>653644</v>
      </c>
      <c r="Q14" s="40">
        <v>701933</v>
      </c>
      <c r="R14" s="40">
        <v>768879</v>
      </c>
      <c r="S14" s="20"/>
      <c r="T14" s="20"/>
      <c r="U14" s="40">
        <v>59179444</v>
      </c>
      <c r="V14" s="40">
        <v>30827318</v>
      </c>
      <c r="W14" s="40">
        <v>14673629</v>
      </c>
      <c r="X14" s="40">
        <v>8377285</v>
      </c>
      <c r="Y14" s="40">
        <v>8333773</v>
      </c>
      <c r="Z14" s="40">
        <v>7621308</v>
      </c>
      <c r="AA14" s="20"/>
      <c r="AB14" s="20"/>
      <c r="AC14" s="40">
        <v>614059012</v>
      </c>
      <c r="AD14" s="40">
        <v>267147049</v>
      </c>
      <c r="AE14" s="40">
        <v>140558705</v>
      </c>
      <c r="AF14" s="40">
        <v>89040817</v>
      </c>
      <c r="AG14" s="40">
        <v>79242792</v>
      </c>
      <c r="AH14" s="42">
        <v>100017765</v>
      </c>
      <c r="AI14" s="21"/>
    </row>
    <row r="15" spans="2:35">
      <c r="B15" s="29"/>
      <c r="C15" s="23"/>
      <c r="D15" s="41" t="s">
        <v>21</v>
      </c>
      <c r="E15" s="40">
        <v>425338</v>
      </c>
      <c r="F15" s="40">
        <v>223654</v>
      </c>
      <c r="G15" s="40">
        <v>114090</v>
      </c>
      <c r="H15" s="40">
        <v>59683</v>
      </c>
      <c r="I15" s="40">
        <v>78941</v>
      </c>
      <c r="J15" s="40">
        <v>69163</v>
      </c>
      <c r="K15" s="20"/>
      <c r="L15" s="20"/>
      <c r="M15" s="40">
        <v>4549251</v>
      </c>
      <c r="N15" s="40">
        <v>2195884</v>
      </c>
      <c r="O15" s="40">
        <v>1149300</v>
      </c>
      <c r="P15" s="40">
        <v>661972</v>
      </c>
      <c r="Q15" s="40">
        <v>718507</v>
      </c>
      <c r="R15" s="40">
        <v>755270</v>
      </c>
      <c r="S15" s="20"/>
      <c r="T15" s="20"/>
      <c r="U15" s="40">
        <v>61073892</v>
      </c>
      <c r="V15" s="40">
        <v>29505260</v>
      </c>
      <c r="W15" s="40">
        <v>14732796</v>
      </c>
      <c r="X15" s="40">
        <v>8407636</v>
      </c>
      <c r="Y15" s="40">
        <v>8401811</v>
      </c>
      <c r="Z15" s="40">
        <v>7780882</v>
      </c>
      <c r="AA15" s="20"/>
      <c r="AB15" s="20"/>
      <c r="AC15" s="40">
        <v>619948661</v>
      </c>
      <c r="AD15" s="40">
        <v>290971415</v>
      </c>
      <c r="AE15" s="40">
        <v>137924311</v>
      </c>
      <c r="AF15" s="40">
        <v>76828396</v>
      </c>
      <c r="AG15" s="40">
        <v>80073811</v>
      </c>
      <c r="AH15" s="42">
        <v>101340233</v>
      </c>
      <c r="AI15" s="21"/>
    </row>
    <row r="16" spans="2:35">
      <c r="B16" s="29"/>
      <c r="C16" s="23"/>
      <c r="D16" s="41" t="s">
        <v>22</v>
      </c>
      <c r="E16" s="40">
        <v>426755</v>
      </c>
      <c r="F16" s="40">
        <v>225213</v>
      </c>
      <c r="G16" s="40">
        <v>116217</v>
      </c>
      <c r="H16" s="40">
        <v>59998</v>
      </c>
      <c r="I16" s="40">
        <v>74729</v>
      </c>
      <c r="J16" s="40">
        <v>59074</v>
      </c>
      <c r="K16" s="20"/>
      <c r="L16" s="20"/>
      <c r="M16" s="40">
        <v>4188244</v>
      </c>
      <c r="N16" s="40">
        <v>2251928</v>
      </c>
      <c r="O16" s="40">
        <v>1127007</v>
      </c>
      <c r="P16" s="40">
        <v>653568</v>
      </c>
      <c r="Q16" s="40">
        <v>730182</v>
      </c>
      <c r="R16" s="40">
        <v>736298</v>
      </c>
      <c r="S16" s="20"/>
      <c r="T16" s="20"/>
      <c r="U16" s="40">
        <v>59194721</v>
      </c>
      <c r="V16" s="40">
        <v>30513732</v>
      </c>
      <c r="W16" s="40">
        <v>14697977</v>
      </c>
      <c r="X16" s="40">
        <v>8402746</v>
      </c>
      <c r="Y16" s="40">
        <v>8742733</v>
      </c>
      <c r="Z16" s="40">
        <v>7711943</v>
      </c>
      <c r="AA16" s="20"/>
      <c r="AB16" s="20"/>
      <c r="AC16" s="40">
        <v>607581671</v>
      </c>
      <c r="AD16" s="40">
        <v>268997529</v>
      </c>
      <c r="AE16" s="40">
        <v>136174362</v>
      </c>
      <c r="AF16" s="40">
        <v>76730101</v>
      </c>
      <c r="AG16" s="40">
        <v>79478723</v>
      </c>
      <c r="AH16" s="42">
        <v>100250619</v>
      </c>
      <c r="AI16" s="21"/>
    </row>
    <row r="17" spans="2:35">
      <c r="B17" s="29"/>
      <c r="C17" s="23"/>
      <c r="D17" s="41" t="s">
        <v>23</v>
      </c>
      <c r="E17" s="40">
        <v>430972</v>
      </c>
      <c r="F17" s="40">
        <v>226318</v>
      </c>
      <c r="G17" s="40">
        <v>113920</v>
      </c>
      <c r="H17" s="40">
        <v>60033</v>
      </c>
      <c r="I17" s="40">
        <v>78065</v>
      </c>
      <c r="J17" s="40">
        <v>62546</v>
      </c>
      <c r="K17" s="20"/>
      <c r="L17" s="20"/>
      <c r="M17" s="40">
        <v>4274157</v>
      </c>
      <c r="N17" s="40">
        <v>2201408</v>
      </c>
      <c r="O17" s="40">
        <v>1143595</v>
      </c>
      <c r="P17" s="40">
        <v>668040</v>
      </c>
      <c r="Q17" s="40">
        <v>703946</v>
      </c>
      <c r="R17" s="40">
        <v>775633</v>
      </c>
      <c r="S17" s="20"/>
      <c r="T17" s="20"/>
      <c r="U17" s="40">
        <v>59142115</v>
      </c>
      <c r="V17" s="40">
        <v>29461173</v>
      </c>
      <c r="W17" s="40">
        <v>14659838</v>
      </c>
      <c r="X17" s="40">
        <v>8385897</v>
      </c>
      <c r="Y17" s="40">
        <v>11345474</v>
      </c>
      <c r="Z17" s="40">
        <v>7769240</v>
      </c>
      <c r="AA17" s="20"/>
      <c r="AB17" s="20"/>
      <c r="AC17" s="40">
        <v>604171388</v>
      </c>
      <c r="AD17" s="40">
        <v>291288611</v>
      </c>
      <c r="AE17" s="40">
        <v>141471870</v>
      </c>
      <c r="AF17" s="40">
        <v>76742048</v>
      </c>
      <c r="AG17" s="40">
        <v>80044444</v>
      </c>
      <c r="AH17" s="42">
        <v>99739842</v>
      </c>
      <c r="AI17" s="21"/>
    </row>
    <row r="18" spans="2:35">
      <c r="B18" s="29"/>
      <c r="C18" s="23"/>
      <c r="D18" s="41" t="s">
        <v>24</v>
      </c>
      <c r="E18" s="40">
        <v>427894</v>
      </c>
      <c r="F18" s="40">
        <v>223992</v>
      </c>
      <c r="G18" s="40">
        <v>115005</v>
      </c>
      <c r="H18" s="40">
        <v>59891</v>
      </c>
      <c r="I18" s="40">
        <v>78961</v>
      </c>
      <c r="J18" s="40">
        <v>62218</v>
      </c>
      <c r="K18" s="20"/>
      <c r="L18" s="20"/>
      <c r="M18" s="40">
        <v>4376458</v>
      </c>
      <c r="N18" s="40">
        <v>2269930</v>
      </c>
      <c r="O18" s="40">
        <v>1130388</v>
      </c>
      <c r="P18" s="40">
        <v>651884</v>
      </c>
      <c r="Q18" s="40">
        <v>718787</v>
      </c>
      <c r="R18" s="40">
        <v>776265</v>
      </c>
      <c r="S18" s="20"/>
      <c r="T18" s="20"/>
      <c r="U18" s="40">
        <v>59623262</v>
      </c>
      <c r="V18" s="40">
        <v>29343386</v>
      </c>
      <c r="W18" s="40">
        <v>14680517</v>
      </c>
      <c r="X18" s="40">
        <v>8535065</v>
      </c>
      <c r="Y18" s="40">
        <v>10988388</v>
      </c>
      <c r="Z18" s="40">
        <v>7629278</v>
      </c>
      <c r="AA18" s="20"/>
      <c r="AB18" s="20"/>
      <c r="AC18" s="40">
        <v>601372079</v>
      </c>
      <c r="AD18" s="40">
        <v>269820691</v>
      </c>
      <c r="AE18" s="40">
        <v>137827790</v>
      </c>
      <c r="AF18" s="40">
        <v>79124671</v>
      </c>
      <c r="AG18" s="40">
        <v>81087492</v>
      </c>
      <c r="AH18" s="42">
        <v>101065580</v>
      </c>
      <c r="AI18" s="21"/>
    </row>
    <row r="19" spans="2:35">
      <c r="B19" s="29"/>
      <c r="C19" s="23"/>
      <c r="D19" s="41" t="s">
        <v>25</v>
      </c>
      <c r="E19" s="40">
        <v>423331</v>
      </c>
      <c r="F19" s="40">
        <v>223621</v>
      </c>
      <c r="G19" s="40">
        <v>113700</v>
      </c>
      <c r="H19" s="40">
        <v>59565</v>
      </c>
      <c r="I19" s="40">
        <v>74934</v>
      </c>
      <c r="J19" s="40">
        <v>69802</v>
      </c>
      <c r="K19" s="20"/>
      <c r="L19" s="20"/>
      <c r="M19" s="40">
        <v>4275860</v>
      </c>
      <c r="N19" s="40">
        <v>2173013</v>
      </c>
      <c r="O19" s="40">
        <v>1140558</v>
      </c>
      <c r="P19" s="40">
        <v>647463</v>
      </c>
      <c r="Q19" s="40">
        <v>722472</v>
      </c>
      <c r="R19" s="40">
        <v>724348</v>
      </c>
      <c r="S19" s="20"/>
      <c r="T19" s="20"/>
      <c r="U19" s="40">
        <v>60797146</v>
      </c>
      <c r="V19" s="40">
        <v>30618664</v>
      </c>
      <c r="W19" s="40">
        <v>14720750</v>
      </c>
      <c r="X19" s="40">
        <v>8389911</v>
      </c>
      <c r="Y19" s="40">
        <v>8830715</v>
      </c>
      <c r="Z19" s="40">
        <v>7746237</v>
      </c>
      <c r="AA19" s="20"/>
      <c r="AB19" s="20"/>
      <c r="AC19" s="40">
        <v>614685218</v>
      </c>
      <c r="AD19" s="40">
        <v>276467611</v>
      </c>
      <c r="AE19" s="40">
        <v>141018929</v>
      </c>
      <c r="AF19" s="40">
        <v>78509903</v>
      </c>
      <c r="AG19" s="40">
        <v>79548799</v>
      </c>
      <c r="AH19" s="42">
        <v>101095801</v>
      </c>
      <c r="AI19" s="21"/>
    </row>
    <row r="20" spans="2:35">
      <c r="B20" s="29"/>
      <c r="C20" s="23"/>
      <c r="D20" s="41" t="s">
        <v>26</v>
      </c>
      <c r="E20" s="40">
        <v>425372</v>
      </c>
      <c r="F20" s="40">
        <v>223350</v>
      </c>
      <c r="G20" s="40">
        <v>113509</v>
      </c>
      <c r="H20" s="40">
        <v>60335</v>
      </c>
      <c r="I20" s="40">
        <v>60077</v>
      </c>
      <c r="J20" s="40">
        <v>73229</v>
      </c>
      <c r="K20" s="20"/>
      <c r="L20" s="20"/>
      <c r="M20" s="40">
        <v>4232696</v>
      </c>
      <c r="N20" s="40">
        <v>2227368</v>
      </c>
      <c r="O20" s="40">
        <v>1134933</v>
      </c>
      <c r="P20" s="40">
        <v>649772</v>
      </c>
      <c r="Q20" s="40">
        <v>713311</v>
      </c>
      <c r="R20" s="40">
        <v>768148</v>
      </c>
      <c r="S20" s="20"/>
      <c r="T20" s="20"/>
      <c r="U20" s="40">
        <v>58710941</v>
      </c>
      <c r="V20" s="40">
        <v>29299773</v>
      </c>
      <c r="W20" s="40">
        <v>14647519</v>
      </c>
      <c r="X20" s="40">
        <v>8353284</v>
      </c>
      <c r="Y20" s="40">
        <v>8330785</v>
      </c>
      <c r="Z20" s="40">
        <v>7689139</v>
      </c>
      <c r="AA20" s="20"/>
      <c r="AB20" s="20"/>
      <c r="AC20" s="40">
        <v>613653558</v>
      </c>
      <c r="AD20" s="40">
        <v>281458088</v>
      </c>
      <c r="AE20" s="40">
        <v>137168180</v>
      </c>
      <c r="AF20" s="40">
        <v>77201465</v>
      </c>
      <c r="AG20" s="40">
        <v>79379238</v>
      </c>
      <c r="AH20" s="42">
        <v>98716563</v>
      </c>
      <c r="AI20" s="21"/>
    </row>
    <row r="21" spans="2:35">
      <c r="B21" s="29"/>
      <c r="C21" s="23"/>
      <c r="D21" s="41" t="s">
        <v>27</v>
      </c>
      <c r="E21" s="40">
        <v>432345</v>
      </c>
      <c r="F21" s="40">
        <v>223634</v>
      </c>
      <c r="G21" s="40">
        <v>114687</v>
      </c>
      <c r="H21" s="40">
        <v>59961</v>
      </c>
      <c r="I21" s="40">
        <v>80007</v>
      </c>
      <c r="J21" s="40">
        <v>68714</v>
      </c>
      <c r="K21" s="20"/>
      <c r="L21" s="20"/>
      <c r="M21" s="40">
        <v>4285700</v>
      </c>
      <c r="N21" s="40">
        <v>2199595</v>
      </c>
      <c r="O21" s="40">
        <v>1144926</v>
      </c>
      <c r="P21" s="40">
        <v>650071</v>
      </c>
      <c r="Q21" s="40">
        <v>717274</v>
      </c>
      <c r="R21" s="40">
        <v>725779</v>
      </c>
      <c r="S21" s="20"/>
      <c r="T21" s="20"/>
      <c r="U21" s="40">
        <v>59075179</v>
      </c>
      <c r="V21" s="40">
        <v>30546967</v>
      </c>
      <c r="W21" s="40">
        <v>15006410</v>
      </c>
      <c r="X21" s="40">
        <v>8388632</v>
      </c>
      <c r="Y21" s="40">
        <v>8346637</v>
      </c>
      <c r="Z21" s="40">
        <v>7751616</v>
      </c>
      <c r="AA21" s="20"/>
      <c r="AB21" s="20"/>
      <c r="AC21" s="40">
        <v>589319054</v>
      </c>
      <c r="AD21" s="40">
        <v>278242406</v>
      </c>
      <c r="AE21" s="40">
        <v>137890667</v>
      </c>
      <c r="AF21" s="40">
        <v>77558329</v>
      </c>
      <c r="AG21" s="40">
        <v>79196582</v>
      </c>
      <c r="AH21" s="42">
        <v>97530217</v>
      </c>
      <c r="AI21" s="21"/>
    </row>
    <row r="22" spans="2:35">
      <c r="B22" s="29"/>
      <c r="C22" s="23"/>
      <c r="D22" s="41" t="s">
        <v>28</v>
      </c>
      <c r="E22" s="40">
        <v>426082</v>
      </c>
      <c r="F22" s="40">
        <v>223209</v>
      </c>
      <c r="G22" s="40">
        <v>113191</v>
      </c>
      <c r="H22" s="40">
        <v>59701</v>
      </c>
      <c r="I22" s="40">
        <v>77981</v>
      </c>
      <c r="J22" s="40">
        <v>61401</v>
      </c>
      <c r="K22" s="20"/>
      <c r="L22" s="20"/>
      <c r="M22" s="40">
        <v>4252494</v>
      </c>
      <c r="N22" s="40">
        <v>2205229</v>
      </c>
      <c r="O22" s="40">
        <v>1123890</v>
      </c>
      <c r="P22" s="40">
        <v>662731</v>
      </c>
      <c r="Q22" s="40">
        <v>716197</v>
      </c>
      <c r="R22" s="40">
        <v>733457</v>
      </c>
      <c r="S22" s="20"/>
      <c r="T22" s="20"/>
      <c r="U22" s="40">
        <v>59276626</v>
      </c>
      <c r="V22" s="40">
        <v>29407511</v>
      </c>
      <c r="W22" s="40">
        <v>14633628</v>
      </c>
      <c r="X22" s="40">
        <v>8392562</v>
      </c>
      <c r="Y22" s="40">
        <v>8353148</v>
      </c>
      <c r="Z22" s="40">
        <v>7764838</v>
      </c>
      <c r="AA22" s="20"/>
      <c r="AB22" s="20"/>
      <c r="AC22" s="40">
        <v>609997053</v>
      </c>
      <c r="AD22" s="40">
        <v>272421174</v>
      </c>
      <c r="AE22" s="40">
        <v>137728609</v>
      </c>
      <c r="AF22" s="40">
        <v>80848614</v>
      </c>
      <c r="AG22" s="40">
        <v>78923548</v>
      </c>
      <c r="AH22" s="42">
        <v>99005201</v>
      </c>
      <c r="AI22" s="21"/>
    </row>
    <row r="23" spans="2:35">
      <c r="B23" s="29"/>
      <c r="C23" s="23"/>
      <c r="D23" s="41" t="s">
        <v>29</v>
      </c>
      <c r="E23" s="40">
        <v>429607</v>
      </c>
      <c r="F23" s="40">
        <v>222451</v>
      </c>
      <c r="G23" s="40">
        <v>113291</v>
      </c>
      <c r="H23" s="40">
        <v>60152</v>
      </c>
      <c r="I23" s="40">
        <v>78236</v>
      </c>
      <c r="J23" s="40">
        <v>61937</v>
      </c>
      <c r="K23" s="20"/>
      <c r="L23" s="20"/>
      <c r="M23" s="40">
        <v>4477154</v>
      </c>
      <c r="N23" s="40">
        <v>2311228</v>
      </c>
      <c r="O23" s="40">
        <v>1154471</v>
      </c>
      <c r="P23" s="40">
        <v>669395</v>
      </c>
      <c r="Q23" s="40">
        <v>721686</v>
      </c>
      <c r="R23" s="40">
        <v>713908</v>
      </c>
      <c r="S23" s="20"/>
      <c r="T23" s="20"/>
      <c r="U23" s="40">
        <v>59570130</v>
      </c>
      <c r="V23" s="40">
        <v>29425158</v>
      </c>
      <c r="W23" s="40">
        <v>14710709</v>
      </c>
      <c r="X23" s="40">
        <v>8410909</v>
      </c>
      <c r="Y23" s="40">
        <v>8390634</v>
      </c>
      <c r="Z23" s="40">
        <v>7624115</v>
      </c>
      <c r="AA23" s="20"/>
      <c r="AB23" s="20"/>
      <c r="AC23" s="40">
        <v>625175157</v>
      </c>
      <c r="AD23" s="40">
        <v>271830306</v>
      </c>
      <c r="AE23" s="40">
        <v>137507591</v>
      </c>
      <c r="AF23" s="40">
        <v>76739404</v>
      </c>
      <c r="AG23" s="40">
        <v>80283342</v>
      </c>
      <c r="AH23" s="42">
        <v>100303929</v>
      </c>
      <c r="AI23" s="21"/>
    </row>
    <row r="24" spans="2:35">
      <c r="B24" s="29"/>
      <c r="C24" s="23"/>
      <c r="D24" s="41" t="s">
        <v>30</v>
      </c>
      <c r="E24" s="40">
        <v>425951</v>
      </c>
      <c r="F24" s="40">
        <v>224460</v>
      </c>
      <c r="G24" s="40">
        <v>114518</v>
      </c>
      <c r="H24" s="40">
        <v>59529</v>
      </c>
      <c r="I24" s="40">
        <v>80266</v>
      </c>
      <c r="J24" s="40">
        <v>61455</v>
      </c>
      <c r="K24" s="20"/>
      <c r="L24" s="20"/>
      <c r="M24" s="40">
        <v>4341913</v>
      </c>
      <c r="N24" s="40">
        <v>2272132</v>
      </c>
      <c r="O24" s="40">
        <v>1138254</v>
      </c>
      <c r="P24" s="40">
        <v>652173</v>
      </c>
      <c r="Q24" s="40">
        <v>726789</v>
      </c>
      <c r="R24" s="40">
        <v>779581</v>
      </c>
      <c r="S24" s="20"/>
      <c r="T24" s="20"/>
      <c r="U24" s="40">
        <v>60956728</v>
      </c>
      <c r="V24" s="40">
        <v>30557797</v>
      </c>
      <c r="W24" s="40">
        <v>14753893</v>
      </c>
      <c r="X24" s="40">
        <v>8375565</v>
      </c>
      <c r="Y24" s="40">
        <v>8456942</v>
      </c>
      <c r="Z24" s="40">
        <v>7771933</v>
      </c>
      <c r="AA24" s="20"/>
      <c r="AB24" s="20"/>
      <c r="AC24" s="40">
        <v>607189961</v>
      </c>
      <c r="AD24" s="40">
        <v>275066664</v>
      </c>
      <c r="AE24" s="40">
        <v>137072229</v>
      </c>
      <c r="AF24" s="40">
        <v>77441165</v>
      </c>
      <c r="AG24" s="40">
        <v>80149531</v>
      </c>
      <c r="AH24" s="42">
        <v>100531615</v>
      </c>
      <c r="AI24" s="21"/>
    </row>
    <row r="25" spans="2:35">
      <c r="B25" s="29"/>
      <c r="C25" s="23"/>
      <c r="D25" s="41" t="s">
        <v>31</v>
      </c>
      <c r="E25" s="40">
        <v>430941</v>
      </c>
      <c r="F25" s="40">
        <v>226535</v>
      </c>
      <c r="G25" s="40">
        <v>113670</v>
      </c>
      <c r="H25" s="40">
        <v>59907</v>
      </c>
      <c r="I25" s="40">
        <v>79217</v>
      </c>
      <c r="J25" s="40">
        <v>61762</v>
      </c>
      <c r="K25" s="20"/>
      <c r="L25" s="20"/>
      <c r="M25" s="40">
        <v>4243871</v>
      </c>
      <c r="N25" s="40">
        <v>2269003</v>
      </c>
      <c r="O25" s="40">
        <v>1114143</v>
      </c>
      <c r="P25" s="40">
        <v>644098</v>
      </c>
      <c r="Q25" s="40">
        <v>727748</v>
      </c>
      <c r="R25" s="40">
        <v>708971</v>
      </c>
      <c r="S25" s="20"/>
      <c r="T25" s="20"/>
      <c r="U25" s="40">
        <v>59252815</v>
      </c>
      <c r="V25" s="40">
        <v>30724030</v>
      </c>
      <c r="W25" s="40">
        <v>14737677</v>
      </c>
      <c r="X25" s="40">
        <v>8451511</v>
      </c>
      <c r="Y25" s="40">
        <v>8391247</v>
      </c>
      <c r="Z25" s="40">
        <v>7771843</v>
      </c>
      <c r="AA25" s="20"/>
      <c r="AB25" s="20"/>
      <c r="AC25" s="40">
        <v>627440515</v>
      </c>
      <c r="AD25" s="40">
        <v>270970663</v>
      </c>
      <c r="AE25" s="40">
        <v>133513198</v>
      </c>
      <c r="AF25" s="40">
        <v>77397522</v>
      </c>
      <c r="AG25" s="40">
        <v>81762486</v>
      </c>
      <c r="AH25" s="42">
        <v>100010428</v>
      </c>
      <c r="AI25" s="21"/>
    </row>
    <row r="26" spans="2:35">
      <c r="B26" s="29"/>
      <c r="C26" s="23"/>
      <c r="D26" s="41" t="s">
        <v>32</v>
      </c>
      <c r="E26" s="40">
        <v>432358</v>
      </c>
      <c r="F26" s="40">
        <v>224532</v>
      </c>
      <c r="G26" s="40">
        <v>113772</v>
      </c>
      <c r="H26" s="40">
        <v>60104</v>
      </c>
      <c r="I26" s="40">
        <v>78456</v>
      </c>
      <c r="J26" s="40">
        <v>63593</v>
      </c>
      <c r="K26" s="20"/>
      <c r="L26" s="20"/>
      <c r="M26" s="40">
        <v>4515766</v>
      </c>
      <c r="N26" s="40">
        <v>2305141</v>
      </c>
      <c r="O26" s="40">
        <v>1119666</v>
      </c>
      <c r="P26" s="40">
        <v>666578</v>
      </c>
      <c r="Q26" s="40">
        <v>722709</v>
      </c>
      <c r="R26" s="40">
        <v>761182</v>
      </c>
      <c r="S26" s="20"/>
      <c r="T26" s="20"/>
      <c r="U26" s="40">
        <v>60937497</v>
      </c>
      <c r="V26" s="40">
        <v>29386505</v>
      </c>
      <c r="W26" s="40">
        <v>14646964</v>
      </c>
      <c r="X26" s="40">
        <v>8451939</v>
      </c>
      <c r="Y26" s="40">
        <v>8388743</v>
      </c>
      <c r="Z26" s="40">
        <v>7780276</v>
      </c>
      <c r="AA26" s="20"/>
      <c r="AB26" s="20"/>
      <c r="AC26" s="40">
        <v>608972819</v>
      </c>
      <c r="AD26" s="40">
        <v>266131728</v>
      </c>
      <c r="AE26" s="40">
        <v>137572096</v>
      </c>
      <c r="AF26" s="40">
        <v>82325950</v>
      </c>
      <c r="AG26" s="40">
        <v>80059018</v>
      </c>
      <c r="AH26" s="42">
        <v>98117005</v>
      </c>
      <c r="AI26" s="21"/>
    </row>
    <row r="27" spans="2:35">
      <c r="B27" s="29"/>
      <c r="C27" s="23"/>
      <c r="D27" s="41" t="s">
        <v>33</v>
      </c>
      <c r="E27" s="40">
        <v>427122</v>
      </c>
      <c r="F27" s="40">
        <v>233025</v>
      </c>
      <c r="G27" s="40">
        <v>113999</v>
      </c>
      <c r="H27" s="40">
        <v>59821</v>
      </c>
      <c r="I27" s="40">
        <v>78958</v>
      </c>
      <c r="J27" s="40">
        <v>63329</v>
      </c>
      <c r="K27" s="20"/>
      <c r="L27" s="20"/>
      <c r="M27" s="40">
        <v>4490613</v>
      </c>
      <c r="N27" s="40">
        <v>2253559</v>
      </c>
      <c r="O27" s="40">
        <v>1142277</v>
      </c>
      <c r="P27" s="40">
        <v>655822</v>
      </c>
      <c r="Q27" s="40">
        <v>710238</v>
      </c>
      <c r="R27" s="40">
        <v>751644</v>
      </c>
      <c r="S27" s="20"/>
      <c r="T27" s="20"/>
      <c r="U27" s="40">
        <v>61053874</v>
      </c>
      <c r="V27" s="40">
        <v>30585091</v>
      </c>
      <c r="W27" s="40">
        <v>14724694</v>
      </c>
      <c r="X27" s="40">
        <v>8403255</v>
      </c>
      <c r="Y27" s="40">
        <v>8367577</v>
      </c>
      <c r="Z27" s="40">
        <v>7798975</v>
      </c>
      <c r="AA27" s="20"/>
      <c r="AB27" s="20"/>
      <c r="AC27" s="40">
        <v>614191586</v>
      </c>
      <c r="AD27" s="40">
        <v>272995830</v>
      </c>
      <c r="AE27" s="40">
        <v>136655003</v>
      </c>
      <c r="AF27" s="40">
        <v>80195112</v>
      </c>
      <c r="AG27" s="40">
        <v>79474553</v>
      </c>
      <c r="AH27" s="42">
        <v>100992519</v>
      </c>
      <c r="AI27" s="21"/>
    </row>
    <row r="28" spans="2:35">
      <c r="B28" s="29"/>
      <c r="C28" s="23"/>
      <c r="D28" s="41" t="s">
        <v>34</v>
      </c>
      <c r="E28" s="40">
        <v>435016</v>
      </c>
      <c r="F28" s="40">
        <v>222940</v>
      </c>
      <c r="G28" s="40">
        <v>114949</v>
      </c>
      <c r="H28" s="40">
        <v>59569</v>
      </c>
      <c r="I28" s="40">
        <v>78265</v>
      </c>
      <c r="J28" s="40">
        <v>62201</v>
      </c>
      <c r="K28" s="20"/>
      <c r="L28" s="20"/>
      <c r="M28" s="40">
        <v>4489034</v>
      </c>
      <c r="N28" s="40">
        <v>2244621</v>
      </c>
      <c r="O28" s="40">
        <v>1128318</v>
      </c>
      <c r="P28" s="40">
        <v>659308</v>
      </c>
      <c r="Q28" s="40">
        <v>723098</v>
      </c>
      <c r="R28" s="40">
        <v>743238</v>
      </c>
      <c r="S28" s="20"/>
      <c r="T28" s="20"/>
      <c r="U28" s="40">
        <v>61059540</v>
      </c>
      <c r="V28" s="40">
        <v>29245797</v>
      </c>
      <c r="W28" s="40">
        <v>14688869</v>
      </c>
      <c r="X28" s="40">
        <v>8354370</v>
      </c>
      <c r="Y28" s="40">
        <v>8317626</v>
      </c>
      <c r="Z28" s="40">
        <v>7687080</v>
      </c>
      <c r="AA28" s="20"/>
      <c r="AB28" s="20"/>
      <c r="AC28" s="40">
        <v>601087698</v>
      </c>
      <c r="AD28" s="40">
        <v>292896432</v>
      </c>
      <c r="AE28" s="40">
        <v>137924994</v>
      </c>
      <c r="AF28" s="40">
        <v>78758663</v>
      </c>
      <c r="AG28" s="40">
        <v>78284842</v>
      </c>
      <c r="AH28" s="42">
        <v>101159578</v>
      </c>
      <c r="AI28" s="21"/>
    </row>
    <row r="29" spans="2:35">
      <c r="B29" s="29"/>
      <c r="C29" s="23"/>
      <c r="D29" s="41" t="s">
        <v>35</v>
      </c>
      <c r="E29" s="40">
        <v>432141</v>
      </c>
      <c r="F29" s="40">
        <v>224260</v>
      </c>
      <c r="G29" s="40">
        <v>114057</v>
      </c>
      <c r="H29" s="40">
        <v>60190</v>
      </c>
      <c r="I29" s="40">
        <v>78850</v>
      </c>
      <c r="J29" s="40">
        <v>59924</v>
      </c>
      <c r="K29" s="20"/>
      <c r="L29" s="20"/>
      <c r="M29" s="40">
        <v>4289345</v>
      </c>
      <c r="N29" s="40">
        <v>2268345</v>
      </c>
      <c r="O29" s="40">
        <v>1151753</v>
      </c>
      <c r="P29" s="40">
        <v>648505</v>
      </c>
      <c r="Q29" s="40">
        <v>706542</v>
      </c>
      <c r="R29" s="40">
        <v>730203</v>
      </c>
      <c r="S29" s="20"/>
      <c r="T29" s="20"/>
      <c r="U29" s="40">
        <v>61042804</v>
      </c>
      <c r="V29" s="40">
        <v>29172873</v>
      </c>
      <c r="W29" s="40">
        <v>14709130</v>
      </c>
      <c r="X29" s="40">
        <v>8382660</v>
      </c>
      <c r="Y29" s="40">
        <v>8251631</v>
      </c>
      <c r="Z29" s="40">
        <v>7787063</v>
      </c>
      <c r="AA29" s="20"/>
      <c r="AB29" s="20"/>
      <c r="AC29" s="40">
        <v>609331336</v>
      </c>
      <c r="AD29" s="40">
        <v>266334926</v>
      </c>
      <c r="AE29" s="40">
        <v>138020994</v>
      </c>
      <c r="AF29" s="40">
        <v>79959926</v>
      </c>
      <c r="AG29" s="40">
        <v>80582437</v>
      </c>
      <c r="AH29" s="42">
        <v>99863189</v>
      </c>
      <c r="AI29" s="21"/>
    </row>
    <row r="30" spans="2:35">
      <c r="B30" s="29"/>
      <c r="C30" s="23"/>
      <c r="D30" s="41" t="s">
        <v>36</v>
      </c>
      <c r="E30" s="40">
        <v>431299</v>
      </c>
      <c r="F30" s="40">
        <v>223067</v>
      </c>
      <c r="G30" s="40">
        <v>114520</v>
      </c>
      <c r="H30" s="40">
        <v>59974</v>
      </c>
      <c r="I30" s="40">
        <v>68587</v>
      </c>
      <c r="J30" s="40">
        <v>59664</v>
      </c>
      <c r="K30" s="20"/>
      <c r="L30" s="20"/>
      <c r="M30" s="40">
        <v>4256782</v>
      </c>
      <c r="N30" s="40">
        <v>2255357</v>
      </c>
      <c r="O30" s="40">
        <v>1104687</v>
      </c>
      <c r="P30" s="40">
        <v>667059</v>
      </c>
      <c r="Q30" s="40">
        <v>724240</v>
      </c>
      <c r="R30" s="40">
        <v>780691</v>
      </c>
      <c r="S30" s="20"/>
      <c r="T30" s="20"/>
      <c r="U30" s="40">
        <v>61116403</v>
      </c>
      <c r="V30" s="40">
        <v>29380322</v>
      </c>
      <c r="W30" s="40">
        <v>14737237</v>
      </c>
      <c r="X30" s="40">
        <v>8325064</v>
      </c>
      <c r="Y30" s="40">
        <v>8357877</v>
      </c>
      <c r="Z30" s="40">
        <v>7674118</v>
      </c>
      <c r="AA30" s="20"/>
      <c r="AB30" s="20"/>
      <c r="AC30" s="40">
        <v>609449454</v>
      </c>
      <c r="AD30" s="40">
        <v>266954168</v>
      </c>
      <c r="AE30" s="40">
        <v>140253003</v>
      </c>
      <c r="AF30" s="40">
        <v>89005693</v>
      </c>
      <c r="AG30" s="40">
        <v>81176472</v>
      </c>
      <c r="AH30" s="42">
        <v>98634643</v>
      </c>
      <c r="AI30" s="21"/>
    </row>
    <row r="31" spans="2:35">
      <c r="B31" s="29"/>
      <c r="C31" s="23"/>
      <c r="D31" s="41" t="s">
        <v>37</v>
      </c>
      <c r="E31" s="40">
        <v>431687</v>
      </c>
      <c r="F31" s="40">
        <v>224549</v>
      </c>
      <c r="G31" s="40">
        <v>114592</v>
      </c>
      <c r="H31" s="40">
        <v>60052</v>
      </c>
      <c r="I31" s="40">
        <v>75754</v>
      </c>
      <c r="J31" s="40">
        <v>85388</v>
      </c>
      <c r="K31" s="20"/>
      <c r="L31" s="20"/>
      <c r="M31" s="40">
        <v>4340327</v>
      </c>
      <c r="N31" s="40">
        <v>2237349</v>
      </c>
      <c r="O31" s="40">
        <v>1134317</v>
      </c>
      <c r="P31" s="40">
        <v>674539</v>
      </c>
      <c r="Q31" s="40">
        <v>720673</v>
      </c>
      <c r="R31" s="40">
        <v>740340</v>
      </c>
      <c r="S31" s="20"/>
      <c r="T31" s="20"/>
      <c r="U31" s="40">
        <v>58999266</v>
      </c>
      <c r="V31" s="40">
        <v>29455355</v>
      </c>
      <c r="W31" s="40">
        <v>14744484</v>
      </c>
      <c r="X31" s="40">
        <v>8550585</v>
      </c>
      <c r="Y31" s="40">
        <v>8440804</v>
      </c>
      <c r="Z31" s="40">
        <v>7637712</v>
      </c>
      <c r="AA31" s="20"/>
      <c r="AB31" s="20"/>
      <c r="AC31" s="40">
        <v>606659098</v>
      </c>
      <c r="AD31" s="40">
        <v>276504113</v>
      </c>
      <c r="AE31" s="40">
        <v>137747577</v>
      </c>
      <c r="AF31" s="40">
        <v>87643165</v>
      </c>
      <c r="AG31" s="40">
        <v>80484146</v>
      </c>
      <c r="AH31" s="42">
        <v>99216002</v>
      </c>
      <c r="AI31" s="21"/>
    </row>
    <row r="32" spans="2:35">
      <c r="B32" s="29"/>
      <c r="C32" s="23"/>
      <c r="D32" s="41" t="s">
        <v>38</v>
      </c>
      <c r="E32" s="40">
        <v>431808</v>
      </c>
      <c r="F32" s="40">
        <v>224861</v>
      </c>
      <c r="G32" s="40">
        <v>115283</v>
      </c>
      <c r="H32" s="40">
        <v>59566</v>
      </c>
      <c r="I32" s="40">
        <v>75272</v>
      </c>
      <c r="J32" s="40">
        <v>71720</v>
      </c>
      <c r="K32" s="20"/>
      <c r="L32" s="20"/>
      <c r="M32" s="40">
        <v>4220461</v>
      </c>
      <c r="N32" s="40">
        <v>2306162</v>
      </c>
      <c r="O32" s="40">
        <v>1103812</v>
      </c>
      <c r="P32" s="40">
        <v>663117</v>
      </c>
      <c r="Q32" s="40">
        <v>722218</v>
      </c>
      <c r="R32" s="40">
        <v>768902</v>
      </c>
      <c r="S32" s="20"/>
      <c r="T32" s="20"/>
      <c r="U32" s="40">
        <v>59354033</v>
      </c>
      <c r="V32" s="40">
        <v>29280342</v>
      </c>
      <c r="W32" s="40">
        <v>14676664</v>
      </c>
      <c r="X32" s="40">
        <v>8398953</v>
      </c>
      <c r="Y32" s="40">
        <v>8404682</v>
      </c>
      <c r="Z32" s="40">
        <v>7754474</v>
      </c>
      <c r="AA32" s="20"/>
      <c r="AB32" s="20"/>
      <c r="AC32" s="40">
        <v>603995771</v>
      </c>
      <c r="AD32" s="40">
        <v>264114617</v>
      </c>
      <c r="AE32" s="40">
        <v>137655188</v>
      </c>
      <c r="AF32" s="40">
        <v>79772105</v>
      </c>
      <c r="AG32" s="40">
        <v>82334682</v>
      </c>
      <c r="AH32" s="42">
        <v>99875979</v>
      </c>
      <c r="AI32" s="21"/>
    </row>
    <row r="33" spans="2:35">
      <c r="B33" s="29"/>
      <c r="C33" s="23"/>
      <c r="D33" s="41" t="s">
        <v>39</v>
      </c>
      <c r="E33" s="40">
        <v>427138</v>
      </c>
      <c r="F33" s="40">
        <v>225557</v>
      </c>
      <c r="G33" s="40">
        <v>115818</v>
      </c>
      <c r="H33" s="40">
        <v>60182</v>
      </c>
      <c r="I33" s="40">
        <v>68577</v>
      </c>
      <c r="J33" s="40">
        <v>60974</v>
      </c>
      <c r="K33" s="20"/>
      <c r="L33" s="20"/>
      <c r="M33" s="40">
        <v>4226608</v>
      </c>
      <c r="N33" s="40">
        <v>2177855</v>
      </c>
      <c r="O33" s="40">
        <v>1143892</v>
      </c>
      <c r="P33" s="40">
        <v>648024</v>
      </c>
      <c r="Q33" s="40">
        <v>724981</v>
      </c>
      <c r="R33" s="40">
        <v>785711</v>
      </c>
      <c r="S33" s="20"/>
      <c r="T33" s="20"/>
      <c r="U33" s="40">
        <v>59292049</v>
      </c>
      <c r="V33" s="40">
        <v>29288928</v>
      </c>
      <c r="W33" s="40">
        <v>14754385</v>
      </c>
      <c r="X33" s="40">
        <v>8461409</v>
      </c>
      <c r="Y33" s="40">
        <v>8350585</v>
      </c>
      <c r="Z33" s="40">
        <v>7685350</v>
      </c>
      <c r="AA33" s="20"/>
      <c r="AB33" s="20"/>
      <c r="AC33" s="40">
        <v>595310830</v>
      </c>
      <c r="AD33" s="40">
        <v>269371300</v>
      </c>
      <c r="AE33" s="40">
        <v>137414636</v>
      </c>
      <c r="AF33" s="40">
        <v>77430837</v>
      </c>
      <c r="AG33" s="40">
        <v>79630850</v>
      </c>
      <c r="AH33" s="42">
        <v>99445137</v>
      </c>
      <c r="AI33" s="21"/>
    </row>
    <row r="34" spans="2:35">
      <c r="B34" s="29"/>
      <c r="C34" s="23"/>
      <c r="D34" s="41" t="s">
        <v>40</v>
      </c>
      <c r="E34" s="40">
        <v>425527</v>
      </c>
      <c r="F34" s="40">
        <v>223938</v>
      </c>
      <c r="G34" s="40">
        <v>114931</v>
      </c>
      <c r="H34" s="40">
        <v>60202</v>
      </c>
      <c r="I34" s="40">
        <v>78651</v>
      </c>
      <c r="J34" s="40">
        <v>61684</v>
      </c>
      <c r="K34" s="20"/>
      <c r="L34" s="20"/>
      <c r="M34" s="40">
        <v>4289246</v>
      </c>
      <c r="N34" s="40">
        <v>2239961</v>
      </c>
      <c r="O34" s="40">
        <v>1142396</v>
      </c>
      <c r="P34" s="40">
        <v>655255</v>
      </c>
      <c r="Q34" s="40">
        <v>726635</v>
      </c>
      <c r="R34" s="40">
        <v>771279</v>
      </c>
      <c r="S34" s="20"/>
      <c r="T34" s="20"/>
      <c r="U34" s="40">
        <v>59309112</v>
      </c>
      <c r="V34" s="40">
        <v>29205741</v>
      </c>
      <c r="W34" s="40">
        <v>14781668</v>
      </c>
      <c r="X34" s="40">
        <v>8389277</v>
      </c>
      <c r="Y34" s="40">
        <v>8404286</v>
      </c>
      <c r="Z34" s="40">
        <v>7746827</v>
      </c>
      <c r="AA34" s="20"/>
      <c r="AB34" s="20"/>
      <c r="AC34" s="40">
        <v>612593404</v>
      </c>
      <c r="AD34" s="40">
        <v>270363788</v>
      </c>
      <c r="AE34" s="40">
        <v>137756053</v>
      </c>
      <c r="AF34" s="40">
        <v>82519012</v>
      </c>
      <c r="AG34" s="40">
        <v>79420240</v>
      </c>
      <c r="AH34" s="42">
        <v>102414973</v>
      </c>
      <c r="AI34" s="21"/>
    </row>
    <row r="35" spans="2:35" ht="15.95" thickBot="1">
      <c r="B35" s="29"/>
      <c r="C35" s="24"/>
      <c r="D35" s="36" t="s">
        <v>41</v>
      </c>
      <c r="E35" s="25" cm="1">
        <f t="array" ref="E35">ROUND(AVERAGE(IF((ISNUMBER(E5:E34))*(E5:E34&lt;LARGE(E5:E34,2))*(E5:E34&gt;SMALL(E5:E34,2)),E5:E34)),0)</f>
        <v>428369</v>
      </c>
      <c r="F35" s="25" cm="1">
        <f t="array" ref="F35">ROUND(AVERAGE(IF((ISNUMBER(F5:F34))*(F5:F34&lt;LARGE(F5:F34,2))*(F5:F34&gt;SMALL(F5:F34,2)),F5:F34)),0)</f>
        <v>224246</v>
      </c>
      <c r="G35" s="25" cm="1">
        <f t="array" ref="G35">ROUND(AVERAGE(IF((ISNUMBER(G5:G34))*(G5:G34&lt;LARGE(G5:G34,2))*(G5:G34&gt;SMALL(G5:G34,2)),G5:G34)),0)</f>
        <v>114413</v>
      </c>
      <c r="H35" s="25" cm="1">
        <f t="array" ref="H35">ROUND(AVERAGE(IF((ISNUMBER(H5:H34))*(H5:H34&lt;LARGE(H5:H34,2))*(H5:H34&gt;SMALL(H5:H34,2)),H5:H34)),0)</f>
        <v>59918</v>
      </c>
      <c r="I35" s="25" cm="1">
        <f t="array" ref="I35">ROUND(AVERAGE(IF((ISNUMBER(I5:I34))*(I5:I34&lt;LARGE(I5:I34,2))*(I5:I34&gt;SMALL(I5:I34,2)),I5:I34)),0)</f>
        <v>77015</v>
      </c>
      <c r="J35" s="25" cm="1">
        <f t="array" ref="J35">ROUND(AVERAGE(IF((ISNUMBER(J5:J34))*(J5:J34&lt;LARGE(J5:J34,2))*(J5:J34&gt;SMALL(J5:J34,2)),J5:J34)),0)</f>
        <v>64131</v>
      </c>
      <c r="K35" s="25"/>
      <c r="L35" s="25"/>
      <c r="M35" s="25" cm="1">
        <f t="array" ref="M35">ROUND(AVERAGE(IF((ISNUMBER(M5:M34))*(M5:M34&lt;LARGE(M5:M34,2))*(M5:M34&gt;SMALL(M5:M34,2)),M5:M34)),0)</f>
        <v>4334222</v>
      </c>
      <c r="N35" s="25" cm="1">
        <f t="array" ref="N35">ROUND(AVERAGE(IF((ISNUMBER(N5:N34))*(N5:N34&lt;LARGE(N5:N34,2))*(N5:N34&gt;SMALL(N5:N34,2)),N5:N34)),0)</f>
        <v>2246974</v>
      </c>
      <c r="O35" s="25" cm="1">
        <f t="array" ref="O35">ROUND(AVERAGE(IF((ISNUMBER(O5:O34))*(O5:O34&lt;LARGE(O5:O34,2))*(O5:O34&gt;SMALL(O5:O34,2)),O5:O34)),0)</f>
        <v>1133772</v>
      </c>
      <c r="P35" s="25" cm="1">
        <f t="array" ref="P35">ROUND(AVERAGE(IF((ISNUMBER(P5:P34))*(P5:P34&lt;LARGE(P5:P34,2))*(P5:P34&gt;SMALL(P5:P34,2)),P5:P34)),0)</f>
        <v>652953</v>
      </c>
      <c r="Q35" s="25" cm="1">
        <f t="array" ref="Q35">ROUND(AVERAGE(IF((ISNUMBER(Q5:Q34))*(Q5:Q34&lt;LARGE(Q5:Q34,2))*(Q5:Q34&gt;SMALL(Q5:Q34,2)),Q5:Q34)),0)</f>
        <v>718820</v>
      </c>
      <c r="R35" s="25" cm="1">
        <f t="array" ref="R35">ROUND(AVERAGE(IF((ISNUMBER(R5:R34))*(R5:R34&lt;LARGE(R5:R34,2))*(R5:R34&gt;SMALL(R5:R34,2)),R5:R34)),0)</f>
        <v>755926</v>
      </c>
      <c r="S35" s="25"/>
      <c r="T35" s="25"/>
      <c r="U35" s="25" cm="1">
        <f t="array" ref="U35">ROUND(AVERAGE(IF((ISNUMBER(U5:U34))*(U5:U34&lt;LARGE(U5:U34,2))*(U5:U34&gt;SMALL(U5:U34,2)),U5:U34)),0)</f>
        <v>59688529</v>
      </c>
      <c r="V35" s="25" cm="1">
        <f t="array" ref="V35">ROUND(AVERAGE(IF((ISNUMBER(V5:V34))*(V5:V34&lt;LARGE(V5:V34,2))*(V5:V34&gt;SMALL(V5:V34,2)),V5:V34)),0)</f>
        <v>29861544</v>
      </c>
      <c r="W35" s="25" cm="1">
        <f t="array" ref="W35">ROUND(AVERAGE(IF((ISNUMBER(W5:W34))*(W5:W34&lt;LARGE(W5:W34,2))*(W5:W34&gt;SMALL(W5:W34,2)),W5:W34)),0)</f>
        <v>14704596</v>
      </c>
      <c r="X35" s="25" cm="1">
        <f t="array" ref="X35">ROUND(AVERAGE(IF((ISNUMBER(X5:X34))*(X5:X34&lt;LARGE(X5:X34,2))*(X5:X34&gt;SMALL(X5:X34,2)),X5:X34)),0)</f>
        <v>8382191</v>
      </c>
      <c r="Y35" s="25" cm="1">
        <f t="array" ref="Y35">ROUND(AVERAGE(IF((ISNUMBER(Y5:Y34))*(Y5:Y34&lt;LARGE(Y5:Y34,2))*(Y5:Y34&gt;SMALL(Y5:Y34,2)),Y5:Y34)),0)</f>
        <v>8415320</v>
      </c>
      <c r="Z35" s="25" cm="1">
        <f t="array" ref="Z35">ROUND(AVERAGE(IF((ISNUMBER(Z5:Z34))*(Z5:Z34&lt;LARGE(Z5:Z34,2))*(Z5:Z34&gt;SMALL(Z5:Z34,2)),Z5:Z34)),0)</f>
        <v>7716837</v>
      </c>
      <c r="AA35" s="25"/>
      <c r="AB35" s="25"/>
      <c r="AC35" s="25" cm="1">
        <f t="array" ref="AC35">ROUND(AVERAGE(IF((ISNUMBER(AC5:AC34))*(AC5:AC34&lt;LARGE(AC5:AC34,2))*(AC5:AC34&gt;SMALL(AC5:AC34,2)),AC5:AC34)),0)</f>
        <v>611877859</v>
      </c>
      <c r="AD35" s="25" cm="1">
        <f t="array" ref="AD35">ROUND(AVERAGE(IF((ISNUMBER(AD5:AD34))*(AD5:AD34&lt;LARGE(AD5:AD34,2))*(AD5:AD34&gt;SMALL(AD5:AD34,2)),AD5:AD34)),0)</f>
        <v>276841401</v>
      </c>
      <c r="AE35" s="25" cm="1">
        <f t="array" ref="AE35">ROUND(AVERAGE(IF((ISNUMBER(AE5:AE34))*(AE5:AE34&lt;LARGE(AE5:AE34,2))*(AE5:AE34&gt;SMALL(AE5:AE34,2)),AE5:AE34)),0)</f>
        <v>137810616</v>
      </c>
      <c r="AF35" s="25" cm="1">
        <f t="array" ref="AF35">ROUND(AVERAGE(IF((ISNUMBER(AF5:AF34))*(AF5:AF34&lt;LARGE(AF5:AF34,2))*(AF5:AF34&gt;SMALL(AF5:AF34,2)),AF5:AF34)),0)</f>
        <v>79156311</v>
      </c>
      <c r="AG35" s="25" cm="1">
        <f t="array" ref="AG35">ROUND(AVERAGE(IF((ISNUMBER(AG5:AG34))*(AG5:AG34&lt;LARGE(AG5:AG34,2))*(AG5:AG34&gt;SMALL(AG5:AG34,2)),AG5:AG34)),0)</f>
        <v>80106398</v>
      </c>
      <c r="AH35" s="25" cm="1">
        <f t="array" ref="AH35">ROUND(AVERAGE(IF((ISNUMBER(AH5:AH34))*(AH5:AH34&lt;LARGE(AH5:AH34,2))*(AH5:AH34&gt;SMALL(AH5:AH34,2)),AH5:AH34)),0)</f>
        <v>99993603</v>
      </c>
      <c r="AI35" s="21"/>
    </row>
    <row r="36" spans="2:35" ht="15.95" thickBot="1">
      <c r="B36" s="30"/>
      <c r="C36" s="27"/>
      <c r="D36" s="3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8"/>
    </row>
    <row r="37" spans="2:35" ht="15.95" thickBot="1">
      <c r="B37" s="31"/>
      <c r="D37" s="1"/>
    </row>
    <row r="38" spans="2:35" ht="36.950000000000003">
      <c r="B38" s="32" t="s">
        <v>42</v>
      </c>
      <c r="C38" s="15"/>
      <c r="D38" s="38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7"/>
    </row>
    <row r="39" spans="2:35" ht="15.95" thickBot="1">
      <c r="B39" s="33"/>
      <c r="C39" s="19"/>
      <c r="D39" s="3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1"/>
    </row>
    <row r="40" spans="2:35">
      <c r="B40" s="29"/>
      <c r="C40" s="43" t="s">
        <v>1</v>
      </c>
      <c r="D40" s="34"/>
      <c r="E40" s="34" t="s">
        <v>2</v>
      </c>
      <c r="F40" s="34" t="s">
        <v>3</v>
      </c>
      <c r="G40" s="34" t="s">
        <v>4</v>
      </c>
      <c r="H40" s="34" t="s">
        <v>5</v>
      </c>
      <c r="I40" s="34" t="s">
        <v>6</v>
      </c>
      <c r="J40" s="34" t="s">
        <v>7</v>
      </c>
      <c r="K40" s="45" t="s">
        <v>8</v>
      </c>
      <c r="L40" s="45"/>
      <c r="M40" s="34" t="s">
        <v>2</v>
      </c>
      <c r="N40" s="34" t="s">
        <v>3</v>
      </c>
      <c r="O40" s="34" t="s">
        <v>4</v>
      </c>
      <c r="P40" s="34" t="s">
        <v>5</v>
      </c>
      <c r="Q40" s="34" t="s">
        <v>6</v>
      </c>
      <c r="R40" s="34" t="s">
        <v>7</v>
      </c>
      <c r="S40" s="45" t="s">
        <v>9</v>
      </c>
      <c r="T40" s="45"/>
      <c r="U40" s="34" t="s">
        <v>2</v>
      </c>
      <c r="V40" s="34" t="s">
        <v>3</v>
      </c>
      <c r="W40" s="34" t="s">
        <v>4</v>
      </c>
      <c r="X40" s="34" t="s">
        <v>5</v>
      </c>
      <c r="Y40" s="34" t="s">
        <v>6</v>
      </c>
      <c r="Z40" s="34" t="s">
        <v>7</v>
      </c>
      <c r="AA40" s="45" t="s">
        <v>10</v>
      </c>
      <c r="AB40" s="45"/>
      <c r="AC40" s="34" t="s">
        <v>2</v>
      </c>
      <c r="AD40" s="34" t="s">
        <v>3</v>
      </c>
      <c r="AE40" s="34" t="s">
        <v>4</v>
      </c>
      <c r="AF40" s="34" t="s">
        <v>5</v>
      </c>
      <c r="AG40" s="34" t="s">
        <v>6</v>
      </c>
      <c r="AH40" s="35" t="s">
        <v>7</v>
      </c>
      <c r="AI40" s="21"/>
    </row>
    <row r="41" spans="2:35">
      <c r="B41" s="29"/>
      <c r="C41" s="23"/>
      <c r="D41" s="41" t="s">
        <v>11</v>
      </c>
      <c r="E41" s="40">
        <v>172008</v>
      </c>
      <c r="F41" s="40">
        <v>87695</v>
      </c>
      <c r="G41" s="40">
        <v>45459</v>
      </c>
      <c r="H41" s="40">
        <v>23771</v>
      </c>
      <c r="I41" s="40">
        <v>17462</v>
      </c>
      <c r="J41" s="40">
        <v>18541</v>
      </c>
      <c r="K41" s="20"/>
      <c r="L41" s="20"/>
      <c r="M41" s="40">
        <v>1521496</v>
      </c>
      <c r="N41" s="40">
        <v>762043</v>
      </c>
      <c r="O41" s="40">
        <v>396845</v>
      </c>
      <c r="P41" s="40">
        <v>200708</v>
      </c>
      <c r="Q41" s="40">
        <v>331234</v>
      </c>
      <c r="R41" s="40">
        <v>626616</v>
      </c>
      <c r="S41" s="20"/>
      <c r="T41" s="20"/>
      <c r="U41" s="40">
        <v>51032880</v>
      </c>
      <c r="V41" s="40">
        <v>25668852</v>
      </c>
      <c r="W41" s="40">
        <v>12967099</v>
      </c>
      <c r="X41" s="40">
        <v>7362898</v>
      </c>
      <c r="Y41" s="40">
        <v>7156870</v>
      </c>
      <c r="Z41" s="40">
        <v>6250239</v>
      </c>
      <c r="AA41" s="20"/>
      <c r="AB41" s="20"/>
      <c r="AC41" s="40">
        <v>590241476</v>
      </c>
      <c r="AD41" s="40">
        <v>286746709</v>
      </c>
      <c r="AE41" s="40">
        <v>149480331</v>
      </c>
      <c r="AF41" s="40">
        <v>86464534</v>
      </c>
      <c r="AG41" s="40">
        <v>76519248</v>
      </c>
      <c r="AH41" s="42">
        <v>70271480</v>
      </c>
      <c r="AI41" s="21"/>
    </row>
    <row r="42" spans="2:35">
      <c r="B42" s="29"/>
      <c r="C42" s="23"/>
      <c r="D42" s="41" t="s">
        <v>12</v>
      </c>
      <c r="E42" s="40">
        <v>165700</v>
      </c>
      <c r="F42" s="40">
        <v>85964</v>
      </c>
      <c r="G42" s="40">
        <v>46198</v>
      </c>
      <c r="H42" s="40">
        <v>23918</v>
      </c>
      <c r="I42" s="40">
        <v>17657</v>
      </c>
      <c r="J42" s="40">
        <v>16135</v>
      </c>
      <c r="K42" s="20"/>
      <c r="L42" s="20"/>
      <c r="M42" s="40">
        <v>1472816</v>
      </c>
      <c r="N42" s="40">
        <v>784729</v>
      </c>
      <c r="O42" s="40">
        <v>392755</v>
      </c>
      <c r="P42" s="40">
        <v>221793</v>
      </c>
      <c r="Q42" s="40">
        <v>327284</v>
      </c>
      <c r="R42" s="40">
        <v>629766</v>
      </c>
      <c r="S42" s="20"/>
      <c r="T42" s="20"/>
      <c r="U42" s="40">
        <v>51365160</v>
      </c>
      <c r="V42" s="40">
        <v>26092069</v>
      </c>
      <c r="W42" s="40">
        <v>13061021</v>
      </c>
      <c r="X42" s="40">
        <v>7373952</v>
      </c>
      <c r="Y42" s="40">
        <v>7138757</v>
      </c>
      <c r="Z42" s="40">
        <v>6327105</v>
      </c>
      <c r="AA42" s="20"/>
      <c r="AB42" s="20"/>
      <c r="AC42" s="40">
        <v>585006473</v>
      </c>
      <c r="AD42" s="40">
        <v>291297174</v>
      </c>
      <c r="AE42" s="40">
        <v>146256998</v>
      </c>
      <c r="AF42" s="40">
        <v>81958356</v>
      </c>
      <c r="AG42" s="40">
        <v>75910989</v>
      </c>
      <c r="AH42" s="42">
        <v>69262940</v>
      </c>
      <c r="AI42" s="21"/>
    </row>
    <row r="43" spans="2:35">
      <c r="B43" s="29"/>
      <c r="C43" s="23"/>
      <c r="D43" s="41" t="s">
        <v>13</v>
      </c>
      <c r="E43" s="40">
        <v>164966</v>
      </c>
      <c r="F43" s="40">
        <v>88478</v>
      </c>
      <c r="G43" s="40">
        <v>45766</v>
      </c>
      <c r="H43" s="40">
        <v>23755</v>
      </c>
      <c r="I43" s="40">
        <v>17432</v>
      </c>
      <c r="J43" s="40">
        <v>17846</v>
      </c>
      <c r="K43" s="20"/>
      <c r="L43" s="20"/>
      <c r="M43" s="40">
        <v>1616469</v>
      </c>
      <c r="N43" s="40">
        <v>753403</v>
      </c>
      <c r="O43" s="40">
        <v>386210</v>
      </c>
      <c r="P43" s="40">
        <v>221664</v>
      </c>
      <c r="Q43" s="40">
        <v>321277</v>
      </c>
      <c r="R43" s="40">
        <v>628903</v>
      </c>
      <c r="S43" s="20"/>
      <c r="T43" s="20"/>
      <c r="U43" s="40">
        <v>51198709</v>
      </c>
      <c r="V43" s="40">
        <v>26140038</v>
      </c>
      <c r="W43" s="40">
        <v>13114946</v>
      </c>
      <c r="X43" s="40">
        <v>7387675</v>
      </c>
      <c r="Y43" s="40">
        <v>7148730</v>
      </c>
      <c r="Z43" s="40">
        <v>6294309</v>
      </c>
      <c r="AA43" s="20"/>
      <c r="AB43" s="20"/>
      <c r="AC43" s="40">
        <v>588469339</v>
      </c>
      <c r="AD43" s="40">
        <v>288675672</v>
      </c>
      <c r="AE43" s="40">
        <v>145582138</v>
      </c>
      <c r="AF43" s="40">
        <v>84631183</v>
      </c>
      <c r="AG43" s="40">
        <v>77118634</v>
      </c>
      <c r="AH43" s="42">
        <v>68372569</v>
      </c>
      <c r="AI43" s="21"/>
    </row>
    <row r="44" spans="2:35">
      <c r="B44" s="29"/>
      <c r="C44" s="23"/>
      <c r="D44" s="41" t="s">
        <v>14</v>
      </c>
      <c r="E44" s="40">
        <v>171720</v>
      </c>
      <c r="F44" s="40">
        <v>86792</v>
      </c>
      <c r="G44" s="40">
        <v>45754</v>
      </c>
      <c r="H44" s="40">
        <v>23568</v>
      </c>
      <c r="I44" s="40">
        <v>18282</v>
      </c>
      <c r="J44" s="40">
        <v>17502</v>
      </c>
      <c r="K44" s="20"/>
      <c r="L44" s="20"/>
      <c r="M44" s="40">
        <v>1483592</v>
      </c>
      <c r="N44" s="40">
        <v>794996</v>
      </c>
      <c r="O44" s="40">
        <v>394943</v>
      </c>
      <c r="P44" s="40">
        <v>221152</v>
      </c>
      <c r="Q44" s="40">
        <v>334108</v>
      </c>
      <c r="R44" s="40">
        <v>641295</v>
      </c>
      <c r="S44" s="20"/>
      <c r="T44" s="20"/>
      <c r="U44" s="40">
        <v>50240883</v>
      </c>
      <c r="V44" s="40">
        <v>26592141</v>
      </c>
      <c r="W44" s="40">
        <v>13239568</v>
      </c>
      <c r="X44" s="40">
        <v>7415413</v>
      </c>
      <c r="Y44" s="40">
        <v>7226334</v>
      </c>
      <c r="Z44" s="40">
        <v>6352272</v>
      </c>
      <c r="AA44" s="20"/>
      <c r="AB44" s="20"/>
      <c r="AC44" s="40">
        <v>583187444</v>
      </c>
      <c r="AD44" s="40">
        <v>290899344</v>
      </c>
      <c r="AE44" s="40">
        <v>151711276</v>
      </c>
      <c r="AF44" s="40">
        <v>83075561</v>
      </c>
      <c r="AG44" s="40">
        <v>76627830</v>
      </c>
      <c r="AH44" s="42">
        <v>68398247</v>
      </c>
      <c r="AI44" s="21"/>
    </row>
    <row r="45" spans="2:35">
      <c r="B45" s="29"/>
      <c r="C45" s="23"/>
      <c r="D45" s="41" t="s">
        <v>15</v>
      </c>
      <c r="E45" s="40">
        <v>171888</v>
      </c>
      <c r="F45" s="40">
        <v>90938</v>
      </c>
      <c r="G45" s="40">
        <v>45698</v>
      </c>
      <c r="H45" s="40">
        <v>23676</v>
      </c>
      <c r="I45" s="40">
        <v>17251</v>
      </c>
      <c r="J45" s="40">
        <v>15271</v>
      </c>
      <c r="K45" s="20"/>
      <c r="L45" s="20"/>
      <c r="M45" s="40">
        <v>1560433</v>
      </c>
      <c r="N45" s="40">
        <v>807417</v>
      </c>
      <c r="O45" s="40">
        <v>387747</v>
      </c>
      <c r="P45" s="40">
        <v>233433</v>
      </c>
      <c r="Q45" s="40">
        <v>330975</v>
      </c>
      <c r="R45" s="40">
        <v>661665</v>
      </c>
      <c r="S45" s="20"/>
      <c r="T45" s="20"/>
      <c r="U45" s="40">
        <v>51200076</v>
      </c>
      <c r="V45" s="40">
        <v>26049041</v>
      </c>
      <c r="W45" s="40">
        <v>13262258</v>
      </c>
      <c r="X45" s="40">
        <v>7411056</v>
      </c>
      <c r="Y45" s="40">
        <v>7106616</v>
      </c>
      <c r="Z45" s="40">
        <v>6274757</v>
      </c>
      <c r="AA45" s="20"/>
      <c r="AB45" s="20"/>
      <c r="AC45" s="40">
        <v>589296942</v>
      </c>
      <c r="AD45" s="40">
        <v>293083332</v>
      </c>
      <c r="AE45" s="40">
        <v>142432342</v>
      </c>
      <c r="AF45" s="40">
        <v>82853895</v>
      </c>
      <c r="AG45" s="40">
        <v>77156655</v>
      </c>
      <c r="AH45" s="42">
        <v>66673234</v>
      </c>
      <c r="AI45" s="21"/>
    </row>
    <row r="46" spans="2:35">
      <c r="B46" s="29"/>
      <c r="C46" s="23"/>
      <c r="D46" s="41" t="s">
        <v>16</v>
      </c>
      <c r="E46" s="40">
        <v>165520</v>
      </c>
      <c r="F46" s="40">
        <v>87311</v>
      </c>
      <c r="G46" s="40">
        <v>45134</v>
      </c>
      <c r="H46" s="40">
        <v>23700</v>
      </c>
      <c r="I46" s="40">
        <v>17509</v>
      </c>
      <c r="J46" s="40">
        <v>18063</v>
      </c>
      <c r="K46" s="20"/>
      <c r="L46" s="20"/>
      <c r="M46" s="40">
        <v>1483765</v>
      </c>
      <c r="N46" s="40">
        <v>807807</v>
      </c>
      <c r="O46" s="40">
        <v>391449</v>
      </c>
      <c r="P46" s="40">
        <v>222081</v>
      </c>
      <c r="Q46" s="40">
        <v>320337</v>
      </c>
      <c r="R46" s="40">
        <v>625479</v>
      </c>
      <c r="S46" s="20"/>
      <c r="T46" s="20"/>
      <c r="U46" s="40">
        <v>51518840</v>
      </c>
      <c r="V46" s="40">
        <v>26060878</v>
      </c>
      <c r="W46" s="40">
        <v>12960620</v>
      </c>
      <c r="X46" s="40">
        <v>7335690</v>
      </c>
      <c r="Y46" s="40">
        <v>7152089</v>
      </c>
      <c r="Z46" s="40">
        <v>6306000</v>
      </c>
      <c r="AA46" s="20"/>
      <c r="AB46" s="20"/>
      <c r="AC46" s="40">
        <v>587605657</v>
      </c>
      <c r="AD46" s="40">
        <v>290850395</v>
      </c>
      <c r="AE46" s="40">
        <v>147700012</v>
      </c>
      <c r="AF46" s="40">
        <v>83418517</v>
      </c>
      <c r="AG46" s="40">
        <v>75484330</v>
      </c>
      <c r="AH46" s="42">
        <v>65797921</v>
      </c>
      <c r="AI46" s="21"/>
    </row>
    <row r="47" spans="2:35">
      <c r="B47" s="29"/>
      <c r="C47" s="23"/>
      <c r="D47" s="41" t="s">
        <v>17</v>
      </c>
      <c r="E47" s="40">
        <v>171946</v>
      </c>
      <c r="F47" s="40">
        <v>87428</v>
      </c>
      <c r="G47" s="40">
        <v>45124</v>
      </c>
      <c r="H47" s="40">
        <v>23725</v>
      </c>
      <c r="I47" s="40">
        <v>18005</v>
      </c>
      <c r="J47" s="40">
        <v>17109</v>
      </c>
      <c r="K47" s="20"/>
      <c r="L47" s="20"/>
      <c r="M47" s="40">
        <v>1503404</v>
      </c>
      <c r="N47" s="40">
        <v>765643</v>
      </c>
      <c r="O47" s="40">
        <v>394006</v>
      </c>
      <c r="P47" s="40">
        <v>221668</v>
      </c>
      <c r="Q47" s="40">
        <v>326643</v>
      </c>
      <c r="R47" s="40">
        <v>636764</v>
      </c>
      <c r="S47" s="20"/>
      <c r="T47" s="20"/>
      <c r="U47" s="40">
        <v>51387186</v>
      </c>
      <c r="V47" s="40">
        <v>26155992</v>
      </c>
      <c r="W47" s="40">
        <v>13101930</v>
      </c>
      <c r="X47" s="40">
        <v>7385280</v>
      </c>
      <c r="Y47" s="40">
        <v>7202407</v>
      </c>
      <c r="Z47" s="40">
        <v>6243712</v>
      </c>
      <c r="AA47" s="20"/>
      <c r="AB47" s="20"/>
      <c r="AC47" s="40">
        <v>587220913</v>
      </c>
      <c r="AD47" s="40">
        <v>289032046</v>
      </c>
      <c r="AE47" s="40">
        <v>144587831</v>
      </c>
      <c r="AF47" s="40">
        <v>85062277</v>
      </c>
      <c r="AG47" s="40">
        <v>76176115</v>
      </c>
      <c r="AH47" s="42">
        <v>67947241</v>
      </c>
      <c r="AI47" s="21"/>
    </row>
    <row r="48" spans="2:35">
      <c r="B48" s="29"/>
      <c r="C48" s="23"/>
      <c r="D48" s="41" t="s">
        <v>18</v>
      </c>
      <c r="E48" s="40">
        <v>171598</v>
      </c>
      <c r="F48" s="40">
        <v>88112</v>
      </c>
      <c r="G48" s="40">
        <v>45951</v>
      </c>
      <c r="H48" s="40">
        <v>23713</v>
      </c>
      <c r="I48" s="40">
        <v>17625</v>
      </c>
      <c r="J48" s="40">
        <v>17561</v>
      </c>
      <c r="K48" s="20"/>
      <c r="L48" s="20"/>
      <c r="M48" s="40">
        <v>1478092</v>
      </c>
      <c r="N48" s="40">
        <v>786649</v>
      </c>
      <c r="O48" s="40">
        <v>403746</v>
      </c>
      <c r="P48" s="40">
        <v>224058</v>
      </c>
      <c r="Q48" s="40">
        <v>332840</v>
      </c>
      <c r="R48" s="40">
        <v>628423</v>
      </c>
      <c r="S48" s="20"/>
      <c r="T48" s="20"/>
      <c r="U48" s="40">
        <v>51143181</v>
      </c>
      <c r="V48" s="40">
        <v>26547511</v>
      </c>
      <c r="W48" s="40">
        <v>12946673</v>
      </c>
      <c r="X48" s="40">
        <v>7442290</v>
      </c>
      <c r="Y48" s="40">
        <v>7222206</v>
      </c>
      <c r="Z48" s="40">
        <v>6205772</v>
      </c>
      <c r="AA48" s="20"/>
      <c r="AB48" s="20"/>
      <c r="AC48" s="40">
        <v>581416534</v>
      </c>
      <c r="AD48" s="40">
        <v>290024730</v>
      </c>
      <c r="AE48" s="40">
        <v>146020076</v>
      </c>
      <c r="AF48" s="40">
        <v>83339318</v>
      </c>
      <c r="AG48" s="40">
        <v>75708163</v>
      </c>
      <c r="AH48" s="42">
        <v>68844601</v>
      </c>
      <c r="AI48" s="21"/>
    </row>
    <row r="49" spans="2:35">
      <c r="B49" s="29"/>
      <c r="C49" s="23"/>
      <c r="D49" s="41" t="s">
        <v>19</v>
      </c>
      <c r="E49" s="40">
        <v>170510</v>
      </c>
      <c r="F49" s="40">
        <v>87924</v>
      </c>
      <c r="G49" s="40">
        <v>45876</v>
      </c>
      <c r="H49" s="40">
        <v>23752</v>
      </c>
      <c r="I49" s="40">
        <v>17445</v>
      </c>
      <c r="J49" s="40">
        <v>15040</v>
      </c>
      <c r="K49" s="20"/>
      <c r="L49" s="20"/>
      <c r="M49" s="40">
        <v>1491397</v>
      </c>
      <c r="N49" s="40">
        <v>796743</v>
      </c>
      <c r="O49" s="40">
        <v>394460</v>
      </c>
      <c r="P49" s="40">
        <v>218287</v>
      </c>
      <c r="Q49" s="40">
        <v>320203</v>
      </c>
      <c r="R49" s="40">
        <v>628569</v>
      </c>
      <c r="S49" s="20"/>
      <c r="T49" s="20"/>
      <c r="U49" s="40">
        <v>51704737</v>
      </c>
      <c r="V49" s="40">
        <v>26176048</v>
      </c>
      <c r="W49" s="40">
        <v>13159840</v>
      </c>
      <c r="X49" s="40">
        <v>7366943</v>
      </c>
      <c r="Y49" s="40">
        <v>7133864</v>
      </c>
      <c r="Z49" s="40">
        <v>6210225</v>
      </c>
      <c r="AA49" s="20"/>
      <c r="AB49" s="20"/>
      <c r="AC49" s="40">
        <v>582681846</v>
      </c>
      <c r="AD49" s="40">
        <v>292729530</v>
      </c>
      <c r="AE49" s="40">
        <v>144708626</v>
      </c>
      <c r="AF49" s="40">
        <v>85550796</v>
      </c>
      <c r="AG49" s="40">
        <v>75202653</v>
      </c>
      <c r="AH49" s="42">
        <v>68704580</v>
      </c>
      <c r="AI49" s="21"/>
    </row>
    <row r="50" spans="2:35">
      <c r="B50" s="29"/>
      <c r="C50" s="23"/>
      <c r="D50" s="41" t="s">
        <v>20</v>
      </c>
      <c r="E50" s="40">
        <v>171611</v>
      </c>
      <c r="F50" s="40">
        <v>87781</v>
      </c>
      <c r="G50" s="40">
        <v>45106</v>
      </c>
      <c r="H50" s="40">
        <v>23698</v>
      </c>
      <c r="I50" s="40">
        <v>17537</v>
      </c>
      <c r="J50" s="40">
        <v>21376</v>
      </c>
      <c r="K50" s="20"/>
      <c r="L50" s="20"/>
      <c r="M50" s="40">
        <v>1510268</v>
      </c>
      <c r="N50" s="40">
        <v>791827</v>
      </c>
      <c r="O50" s="40">
        <v>388672</v>
      </c>
      <c r="P50" s="40">
        <v>224149</v>
      </c>
      <c r="Q50" s="40">
        <v>326372</v>
      </c>
      <c r="R50" s="40">
        <v>635336</v>
      </c>
      <c r="S50" s="20"/>
      <c r="T50" s="20"/>
      <c r="U50" s="40">
        <v>50757077</v>
      </c>
      <c r="V50" s="40">
        <v>26225566</v>
      </c>
      <c r="W50" s="40">
        <v>12976998</v>
      </c>
      <c r="X50" s="40">
        <v>7523399</v>
      </c>
      <c r="Y50" s="40">
        <v>7178489</v>
      </c>
      <c r="Z50" s="40">
        <v>6308346</v>
      </c>
      <c r="AA50" s="20"/>
      <c r="AB50" s="20"/>
      <c r="AC50" s="40">
        <v>580805404</v>
      </c>
      <c r="AD50" s="40">
        <v>296343334</v>
      </c>
      <c r="AE50" s="40">
        <v>144036453</v>
      </c>
      <c r="AF50" s="40">
        <v>84285487</v>
      </c>
      <c r="AG50" s="40">
        <v>74720624</v>
      </c>
      <c r="AH50" s="42">
        <v>67380970</v>
      </c>
      <c r="AI50" s="21"/>
    </row>
    <row r="51" spans="2:35">
      <c r="B51" s="29"/>
      <c r="C51" s="23"/>
      <c r="D51" s="41" t="s">
        <v>21</v>
      </c>
      <c r="E51" s="40">
        <v>172367</v>
      </c>
      <c r="F51" s="40">
        <v>89958</v>
      </c>
      <c r="G51" s="40">
        <v>45633</v>
      </c>
      <c r="H51" s="40">
        <v>23693</v>
      </c>
      <c r="I51" s="40">
        <v>17536</v>
      </c>
      <c r="J51" s="40">
        <v>18479</v>
      </c>
      <c r="K51" s="20"/>
      <c r="L51" s="20"/>
      <c r="M51" s="40">
        <v>1472909</v>
      </c>
      <c r="N51" s="40">
        <v>774579</v>
      </c>
      <c r="O51" s="40">
        <v>397451</v>
      </c>
      <c r="P51" s="40">
        <v>219636</v>
      </c>
      <c r="Q51" s="40">
        <v>322724</v>
      </c>
      <c r="R51" s="40">
        <v>643122</v>
      </c>
      <c r="S51" s="20"/>
      <c r="T51" s="20"/>
      <c r="U51" s="40">
        <v>51089332</v>
      </c>
      <c r="V51" s="40">
        <v>25920844</v>
      </c>
      <c r="W51" s="40">
        <v>12958659</v>
      </c>
      <c r="X51" s="40">
        <v>7396822</v>
      </c>
      <c r="Y51" s="40">
        <v>7168716</v>
      </c>
      <c r="Z51" s="40">
        <v>6354368</v>
      </c>
      <c r="AA51" s="20"/>
      <c r="AB51" s="20"/>
      <c r="AC51" s="40">
        <v>582245410</v>
      </c>
      <c r="AD51" s="40">
        <v>291764181</v>
      </c>
      <c r="AE51" s="40">
        <v>144825402</v>
      </c>
      <c r="AF51" s="40">
        <v>82746302</v>
      </c>
      <c r="AG51" s="40">
        <v>76820596</v>
      </c>
      <c r="AH51" s="42">
        <v>67454886</v>
      </c>
      <c r="AI51" s="21"/>
    </row>
    <row r="52" spans="2:35">
      <c r="B52" s="29"/>
      <c r="C52" s="23"/>
      <c r="D52" s="41" t="s">
        <v>22</v>
      </c>
      <c r="E52" s="40">
        <v>165142</v>
      </c>
      <c r="F52" s="40">
        <v>89942</v>
      </c>
      <c r="G52" s="40">
        <v>45273</v>
      </c>
      <c r="H52" s="40">
        <v>23783</v>
      </c>
      <c r="I52" s="40">
        <v>17466</v>
      </c>
      <c r="J52" s="40">
        <v>18568</v>
      </c>
      <c r="K52" s="20"/>
      <c r="L52" s="20"/>
      <c r="M52" s="40">
        <v>1484719</v>
      </c>
      <c r="N52" s="40">
        <v>772728</v>
      </c>
      <c r="O52" s="40">
        <v>382164</v>
      </c>
      <c r="P52" s="40">
        <v>221484</v>
      </c>
      <c r="Q52" s="40">
        <v>323913</v>
      </c>
      <c r="R52" s="40">
        <v>630548</v>
      </c>
      <c r="S52" s="20"/>
      <c r="T52" s="20"/>
      <c r="U52" s="40">
        <v>50946132</v>
      </c>
      <c r="V52" s="40">
        <v>26303584</v>
      </c>
      <c r="W52" s="40">
        <v>12975882</v>
      </c>
      <c r="X52" s="40">
        <v>7406989</v>
      </c>
      <c r="Y52" s="40">
        <v>7459755</v>
      </c>
      <c r="Z52" s="40">
        <v>6430839</v>
      </c>
      <c r="AA52" s="20"/>
      <c r="AB52" s="20"/>
      <c r="AC52" s="40">
        <v>584506343</v>
      </c>
      <c r="AD52" s="40">
        <v>292156179</v>
      </c>
      <c r="AE52" s="40">
        <v>143432159</v>
      </c>
      <c r="AF52" s="40">
        <v>84603502</v>
      </c>
      <c r="AG52" s="40">
        <v>77617355</v>
      </c>
      <c r="AH52" s="42">
        <v>67963831</v>
      </c>
      <c r="AI52" s="21"/>
    </row>
    <row r="53" spans="2:35">
      <c r="B53" s="29"/>
      <c r="C53" s="23"/>
      <c r="D53" s="41" t="s">
        <v>23</v>
      </c>
      <c r="E53" s="40">
        <v>171637</v>
      </c>
      <c r="F53" s="40">
        <v>90366</v>
      </c>
      <c r="G53" s="40">
        <v>45193</v>
      </c>
      <c r="H53" s="40">
        <v>23715</v>
      </c>
      <c r="I53" s="40">
        <v>17525</v>
      </c>
      <c r="J53" s="40">
        <v>21335</v>
      </c>
      <c r="K53" s="20"/>
      <c r="L53" s="20"/>
      <c r="M53" s="40">
        <v>1562758</v>
      </c>
      <c r="N53" s="40">
        <v>759533</v>
      </c>
      <c r="O53" s="40">
        <v>394570</v>
      </c>
      <c r="P53" s="40">
        <v>221213</v>
      </c>
      <c r="Q53" s="40">
        <v>331699</v>
      </c>
      <c r="R53" s="40">
        <v>650003</v>
      </c>
      <c r="S53" s="20"/>
      <c r="T53" s="20"/>
      <c r="U53" s="40">
        <v>51542290</v>
      </c>
      <c r="V53" s="40">
        <v>26053098</v>
      </c>
      <c r="W53" s="40">
        <v>12975865</v>
      </c>
      <c r="X53" s="40">
        <v>7417301</v>
      </c>
      <c r="Y53" s="40">
        <v>11196535</v>
      </c>
      <c r="Z53" s="40">
        <v>6439389</v>
      </c>
      <c r="AA53" s="20"/>
      <c r="AB53" s="20"/>
      <c r="AC53" s="40">
        <v>602949840</v>
      </c>
      <c r="AD53" s="40">
        <v>291941594</v>
      </c>
      <c r="AE53" s="40">
        <v>144950080</v>
      </c>
      <c r="AF53" s="40">
        <v>83037993</v>
      </c>
      <c r="AG53" s="40">
        <v>77593574</v>
      </c>
      <c r="AH53" s="42">
        <v>67180256</v>
      </c>
      <c r="AI53" s="21"/>
    </row>
    <row r="54" spans="2:35">
      <c r="B54" s="29"/>
      <c r="C54" s="23"/>
      <c r="D54" s="41" t="s">
        <v>24</v>
      </c>
      <c r="E54" s="40">
        <v>171606</v>
      </c>
      <c r="F54" s="40">
        <v>88194</v>
      </c>
      <c r="G54" s="40">
        <v>45261</v>
      </c>
      <c r="H54" s="40">
        <v>23833</v>
      </c>
      <c r="I54" s="40">
        <v>17658</v>
      </c>
      <c r="J54" s="40">
        <v>18569</v>
      </c>
      <c r="K54" s="20"/>
      <c r="L54" s="20"/>
      <c r="M54" s="40">
        <v>1473343</v>
      </c>
      <c r="N54" s="40">
        <v>773160</v>
      </c>
      <c r="O54" s="40">
        <v>388693</v>
      </c>
      <c r="P54" s="40">
        <v>220578</v>
      </c>
      <c r="Q54" s="40">
        <v>322537</v>
      </c>
      <c r="R54" s="40">
        <v>643688</v>
      </c>
      <c r="S54" s="20"/>
      <c r="T54" s="20"/>
      <c r="U54" s="40">
        <v>51501518</v>
      </c>
      <c r="V54" s="40">
        <v>25976266</v>
      </c>
      <c r="W54" s="40">
        <v>12960758</v>
      </c>
      <c r="X54" s="40">
        <v>7361478</v>
      </c>
      <c r="Y54" s="40">
        <v>10128428</v>
      </c>
      <c r="Z54" s="40">
        <v>6489767</v>
      </c>
      <c r="AA54" s="20"/>
      <c r="AB54" s="20"/>
      <c r="AC54" s="40">
        <v>582822905</v>
      </c>
      <c r="AD54" s="40">
        <v>288972260</v>
      </c>
      <c r="AE54" s="40">
        <v>145096594</v>
      </c>
      <c r="AF54" s="40">
        <v>82849583</v>
      </c>
      <c r="AG54" s="40">
        <v>75155274</v>
      </c>
      <c r="AH54" s="42">
        <v>69347692</v>
      </c>
      <c r="AI54" s="21"/>
    </row>
    <row r="55" spans="2:35">
      <c r="B55" s="29"/>
      <c r="C55" s="23"/>
      <c r="D55" s="41" t="s">
        <v>25</v>
      </c>
      <c r="E55" s="40">
        <v>172515</v>
      </c>
      <c r="F55" s="40">
        <v>88185</v>
      </c>
      <c r="G55" s="40">
        <v>46195</v>
      </c>
      <c r="H55" s="40">
        <v>23672</v>
      </c>
      <c r="I55" s="40">
        <v>17549</v>
      </c>
      <c r="J55" s="40">
        <v>16523</v>
      </c>
      <c r="K55" s="20"/>
      <c r="L55" s="20"/>
      <c r="M55" s="40">
        <v>1567818</v>
      </c>
      <c r="N55" s="40">
        <v>779475</v>
      </c>
      <c r="O55" s="40">
        <v>397158</v>
      </c>
      <c r="P55" s="40">
        <v>224716</v>
      </c>
      <c r="Q55" s="40">
        <v>324017</v>
      </c>
      <c r="R55" s="40">
        <v>654480</v>
      </c>
      <c r="S55" s="20"/>
      <c r="T55" s="20"/>
      <c r="U55" s="40">
        <v>51759749</v>
      </c>
      <c r="V55" s="40">
        <v>25674289</v>
      </c>
      <c r="W55" s="40">
        <v>12940473</v>
      </c>
      <c r="X55" s="40">
        <v>7348604</v>
      </c>
      <c r="Y55" s="40">
        <v>7224985</v>
      </c>
      <c r="Z55" s="40">
        <v>6285497</v>
      </c>
      <c r="AA55" s="20"/>
      <c r="AB55" s="20"/>
      <c r="AC55" s="40">
        <v>573282782</v>
      </c>
      <c r="AD55" s="40">
        <v>289838398</v>
      </c>
      <c r="AE55" s="40">
        <v>144693913</v>
      </c>
      <c r="AF55" s="40">
        <v>84339955</v>
      </c>
      <c r="AG55" s="40">
        <v>75382213</v>
      </c>
      <c r="AH55" s="42">
        <v>66351301</v>
      </c>
      <c r="AI55" s="21"/>
    </row>
    <row r="56" spans="2:35">
      <c r="B56" s="29"/>
      <c r="C56" s="23"/>
      <c r="D56" s="41" t="s">
        <v>26</v>
      </c>
      <c r="E56" s="40">
        <v>171732</v>
      </c>
      <c r="F56" s="40">
        <v>90152</v>
      </c>
      <c r="G56" s="40">
        <v>45139</v>
      </c>
      <c r="H56" s="40">
        <v>23790</v>
      </c>
      <c r="I56" s="40">
        <v>17398</v>
      </c>
      <c r="J56" s="40">
        <v>17927</v>
      </c>
      <c r="K56" s="20"/>
      <c r="L56" s="20"/>
      <c r="M56" s="40">
        <v>1484827</v>
      </c>
      <c r="N56" s="40">
        <v>775036</v>
      </c>
      <c r="O56" s="40">
        <v>383928</v>
      </c>
      <c r="P56" s="40">
        <v>223883</v>
      </c>
      <c r="Q56" s="40">
        <v>329265</v>
      </c>
      <c r="R56" s="40">
        <v>638868</v>
      </c>
      <c r="S56" s="20"/>
      <c r="T56" s="20"/>
      <c r="U56" s="40">
        <v>51379294</v>
      </c>
      <c r="V56" s="40">
        <v>26363248</v>
      </c>
      <c r="W56" s="40">
        <v>12950691</v>
      </c>
      <c r="X56" s="40">
        <v>7535663</v>
      </c>
      <c r="Y56" s="40">
        <v>7533652</v>
      </c>
      <c r="Z56" s="40">
        <v>6261155</v>
      </c>
      <c r="AA56" s="20"/>
      <c r="AB56" s="20"/>
      <c r="AC56" s="40">
        <v>593430966</v>
      </c>
      <c r="AD56" s="40">
        <v>296508031</v>
      </c>
      <c r="AE56" s="40">
        <v>149672587</v>
      </c>
      <c r="AF56" s="40">
        <v>85674104</v>
      </c>
      <c r="AG56" s="40">
        <v>77073609</v>
      </c>
      <c r="AH56" s="42">
        <v>70450104</v>
      </c>
      <c r="AI56" s="21"/>
    </row>
    <row r="57" spans="2:35">
      <c r="B57" s="29"/>
      <c r="C57" s="23"/>
      <c r="D57" s="41" t="s">
        <v>27</v>
      </c>
      <c r="E57" s="40">
        <v>172571</v>
      </c>
      <c r="F57" s="40">
        <v>90063</v>
      </c>
      <c r="G57" s="40">
        <v>45123</v>
      </c>
      <c r="H57" s="40">
        <v>23731</v>
      </c>
      <c r="I57" s="40">
        <v>17507</v>
      </c>
      <c r="J57" s="40">
        <v>14338</v>
      </c>
      <c r="K57" s="20"/>
      <c r="L57" s="20"/>
      <c r="M57" s="40">
        <v>1471133</v>
      </c>
      <c r="N57" s="40">
        <v>799642</v>
      </c>
      <c r="O57" s="40">
        <v>384126</v>
      </c>
      <c r="P57" s="40">
        <v>218523</v>
      </c>
      <c r="Q57" s="40">
        <v>327357</v>
      </c>
      <c r="R57" s="40">
        <v>640587</v>
      </c>
      <c r="S57" s="20"/>
      <c r="T57" s="20"/>
      <c r="U57" s="40">
        <v>51392821</v>
      </c>
      <c r="V57" s="40">
        <v>26342023</v>
      </c>
      <c r="W57" s="40">
        <v>12999380</v>
      </c>
      <c r="X57" s="40">
        <v>7392121</v>
      </c>
      <c r="Y57" s="40">
        <v>7254117</v>
      </c>
      <c r="Z57" s="40">
        <v>6315965</v>
      </c>
      <c r="AA57" s="20"/>
      <c r="AB57" s="20"/>
      <c r="AC57" s="40">
        <v>605483997</v>
      </c>
      <c r="AD57" s="40">
        <v>289607841</v>
      </c>
      <c r="AE57" s="40">
        <v>149300045</v>
      </c>
      <c r="AF57" s="40">
        <v>84290262</v>
      </c>
      <c r="AG57" s="40">
        <v>77252354</v>
      </c>
      <c r="AH57" s="42">
        <v>67249624</v>
      </c>
      <c r="AI57" s="21"/>
    </row>
    <row r="58" spans="2:35">
      <c r="B58" s="29"/>
      <c r="C58" s="23"/>
      <c r="D58" s="41" t="s">
        <v>28</v>
      </c>
      <c r="E58" s="40">
        <v>172460</v>
      </c>
      <c r="F58" s="40">
        <v>90226</v>
      </c>
      <c r="G58" s="40">
        <v>46422</v>
      </c>
      <c r="H58" s="40">
        <v>23703</v>
      </c>
      <c r="I58" s="40">
        <v>17465</v>
      </c>
      <c r="J58" s="40">
        <v>18157</v>
      </c>
      <c r="K58" s="20"/>
      <c r="L58" s="20"/>
      <c r="M58" s="40">
        <v>1474789</v>
      </c>
      <c r="N58" s="40">
        <v>758034</v>
      </c>
      <c r="O58" s="40">
        <v>416784</v>
      </c>
      <c r="P58" s="40">
        <v>221490</v>
      </c>
      <c r="Q58" s="40">
        <v>323914</v>
      </c>
      <c r="R58" s="40">
        <v>649152</v>
      </c>
      <c r="S58" s="20"/>
      <c r="T58" s="20"/>
      <c r="U58" s="40">
        <v>51141935</v>
      </c>
      <c r="V58" s="40">
        <v>26315572</v>
      </c>
      <c r="W58" s="40">
        <v>13209042</v>
      </c>
      <c r="X58" s="40">
        <v>7390788</v>
      </c>
      <c r="Y58" s="40">
        <v>7181371</v>
      </c>
      <c r="Z58" s="40">
        <v>6363202</v>
      </c>
      <c r="AA58" s="20"/>
      <c r="AB58" s="20"/>
      <c r="AC58" s="40">
        <v>586292319</v>
      </c>
      <c r="AD58" s="40">
        <v>290253671</v>
      </c>
      <c r="AE58" s="40">
        <v>145840645</v>
      </c>
      <c r="AF58" s="40">
        <v>83856075</v>
      </c>
      <c r="AG58" s="40">
        <v>77897677</v>
      </c>
      <c r="AH58" s="42">
        <v>69254650</v>
      </c>
      <c r="AI58" s="21"/>
    </row>
    <row r="59" spans="2:35">
      <c r="B59" s="29"/>
      <c r="C59" s="23"/>
      <c r="D59" s="41" t="s">
        <v>29</v>
      </c>
      <c r="E59" s="40">
        <v>171839</v>
      </c>
      <c r="F59" s="40">
        <v>89961</v>
      </c>
      <c r="G59" s="40">
        <v>45331</v>
      </c>
      <c r="H59" s="40">
        <v>23750</v>
      </c>
      <c r="I59" s="40">
        <v>18892</v>
      </c>
      <c r="J59" s="40">
        <v>14377</v>
      </c>
      <c r="K59" s="20"/>
      <c r="L59" s="20"/>
      <c r="M59" s="40">
        <v>1481817</v>
      </c>
      <c r="N59" s="40">
        <v>761833</v>
      </c>
      <c r="O59" s="40">
        <v>387117</v>
      </c>
      <c r="P59" s="40">
        <v>228537</v>
      </c>
      <c r="Q59" s="40">
        <v>328165</v>
      </c>
      <c r="R59" s="40">
        <v>634292</v>
      </c>
      <c r="S59" s="20"/>
      <c r="T59" s="20"/>
      <c r="U59" s="40">
        <v>51171913</v>
      </c>
      <c r="V59" s="40">
        <v>26520386</v>
      </c>
      <c r="W59" s="40">
        <v>13020678</v>
      </c>
      <c r="X59" s="40">
        <v>7386113</v>
      </c>
      <c r="Y59" s="40">
        <v>7176805</v>
      </c>
      <c r="Z59" s="40">
        <v>6266159</v>
      </c>
      <c r="AA59" s="20"/>
      <c r="AB59" s="20"/>
      <c r="AC59" s="40">
        <v>576895485</v>
      </c>
      <c r="AD59" s="40">
        <v>295492147</v>
      </c>
      <c r="AE59" s="40">
        <v>145966269</v>
      </c>
      <c r="AF59" s="40">
        <v>83696768</v>
      </c>
      <c r="AG59" s="40">
        <v>75718192</v>
      </c>
      <c r="AH59" s="42">
        <v>68203051</v>
      </c>
      <c r="AI59" s="21"/>
    </row>
    <row r="60" spans="2:35">
      <c r="B60" s="29"/>
      <c r="C60" s="23"/>
      <c r="D60" s="41" t="s">
        <v>30</v>
      </c>
      <c r="E60" s="40">
        <v>171589</v>
      </c>
      <c r="F60" s="40">
        <v>89961</v>
      </c>
      <c r="G60" s="40">
        <v>46024</v>
      </c>
      <c r="H60" s="40">
        <v>23617</v>
      </c>
      <c r="I60" s="40">
        <v>19806</v>
      </c>
      <c r="J60" s="40">
        <v>14968</v>
      </c>
      <c r="K60" s="20"/>
      <c r="L60" s="20"/>
      <c r="M60" s="40">
        <v>1570754</v>
      </c>
      <c r="N60" s="40">
        <v>824048</v>
      </c>
      <c r="O60" s="40">
        <v>397713</v>
      </c>
      <c r="P60" s="40">
        <v>226726</v>
      </c>
      <c r="Q60" s="40">
        <v>319675</v>
      </c>
      <c r="R60" s="40">
        <v>645136</v>
      </c>
      <c r="S60" s="20"/>
      <c r="T60" s="20"/>
      <c r="U60" s="40">
        <v>51540928</v>
      </c>
      <c r="V60" s="40">
        <v>26726381</v>
      </c>
      <c r="W60" s="40">
        <v>12979900</v>
      </c>
      <c r="X60" s="40">
        <v>7493354</v>
      </c>
      <c r="Y60" s="40">
        <v>7317753</v>
      </c>
      <c r="Z60" s="40">
        <v>6259110</v>
      </c>
      <c r="AA60" s="20"/>
      <c r="AB60" s="20"/>
      <c r="AC60" s="40">
        <v>581655348</v>
      </c>
      <c r="AD60" s="40">
        <v>296992853</v>
      </c>
      <c r="AE60" s="40">
        <v>145152869</v>
      </c>
      <c r="AF60" s="40">
        <v>83318069</v>
      </c>
      <c r="AG60" s="40">
        <v>77919543</v>
      </c>
      <c r="AH60" s="42">
        <v>69613811</v>
      </c>
      <c r="AI60" s="21"/>
    </row>
    <row r="61" spans="2:35">
      <c r="B61" s="29"/>
      <c r="C61" s="23"/>
      <c r="D61" s="41" t="s">
        <v>31</v>
      </c>
      <c r="E61" s="40">
        <v>172648</v>
      </c>
      <c r="F61" s="40">
        <v>89403</v>
      </c>
      <c r="G61" s="40">
        <v>46543</v>
      </c>
      <c r="H61" s="40">
        <v>23756</v>
      </c>
      <c r="I61" s="40">
        <v>17626</v>
      </c>
      <c r="J61" s="40">
        <v>19722</v>
      </c>
      <c r="K61" s="20"/>
      <c r="L61" s="20"/>
      <c r="M61" s="40">
        <v>1492299</v>
      </c>
      <c r="N61" s="40">
        <v>787826</v>
      </c>
      <c r="O61" s="40">
        <v>390683</v>
      </c>
      <c r="P61" s="40">
        <v>220799</v>
      </c>
      <c r="Q61" s="40">
        <v>323471</v>
      </c>
      <c r="R61" s="40">
        <v>650075</v>
      </c>
      <c r="S61" s="20"/>
      <c r="T61" s="20"/>
      <c r="U61" s="40">
        <v>51591480</v>
      </c>
      <c r="V61" s="40">
        <v>26226437</v>
      </c>
      <c r="W61" s="40">
        <v>12894784</v>
      </c>
      <c r="X61" s="40">
        <v>7504635</v>
      </c>
      <c r="Y61" s="40">
        <v>7162546</v>
      </c>
      <c r="Z61" s="40">
        <v>6216145</v>
      </c>
      <c r="AA61" s="20"/>
      <c r="AB61" s="20"/>
      <c r="AC61" s="40">
        <v>583360879</v>
      </c>
      <c r="AD61" s="40">
        <v>284575652</v>
      </c>
      <c r="AE61" s="40">
        <v>144093944</v>
      </c>
      <c r="AF61" s="40">
        <v>83916580</v>
      </c>
      <c r="AG61" s="40">
        <v>77271128</v>
      </c>
      <c r="AH61" s="42">
        <v>68084867</v>
      </c>
      <c r="AI61" s="21"/>
    </row>
    <row r="62" spans="2:35">
      <c r="B62" s="29"/>
      <c r="C62" s="23"/>
      <c r="D62" s="41" t="s">
        <v>32</v>
      </c>
      <c r="E62" s="40">
        <v>171968</v>
      </c>
      <c r="F62" s="40">
        <v>87968</v>
      </c>
      <c r="G62" s="40">
        <v>46151</v>
      </c>
      <c r="H62" s="40">
        <v>23853</v>
      </c>
      <c r="I62" s="40">
        <v>17598</v>
      </c>
      <c r="J62" s="40">
        <v>19016</v>
      </c>
      <c r="K62" s="20"/>
      <c r="L62" s="20"/>
      <c r="M62" s="40">
        <v>1480542</v>
      </c>
      <c r="N62" s="40">
        <v>788359</v>
      </c>
      <c r="O62" s="40">
        <v>386319</v>
      </c>
      <c r="P62" s="40">
        <v>222371</v>
      </c>
      <c r="Q62" s="40">
        <v>324064</v>
      </c>
      <c r="R62" s="40">
        <v>632968</v>
      </c>
      <c r="S62" s="20"/>
      <c r="T62" s="20"/>
      <c r="U62" s="40">
        <v>52185411</v>
      </c>
      <c r="V62" s="40">
        <v>25996186</v>
      </c>
      <c r="W62" s="40">
        <v>12901162</v>
      </c>
      <c r="X62" s="40">
        <v>7363435</v>
      </c>
      <c r="Y62" s="40">
        <v>7288423</v>
      </c>
      <c r="Z62" s="40">
        <v>6375973</v>
      </c>
      <c r="AA62" s="20"/>
      <c r="AB62" s="20"/>
      <c r="AC62" s="40">
        <v>582883131</v>
      </c>
      <c r="AD62" s="40">
        <v>289097922</v>
      </c>
      <c r="AE62" s="40">
        <v>145217201</v>
      </c>
      <c r="AF62" s="40">
        <v>82735619</v>
      </c>
      <c r="AG62" s="40">
        <v>76299937</v>
      </c>
      <c r="AH62" s="42">
        <v>68656024</v>
      </c>
      <c r="AI62" s="21"/>
    </row>
    <row r="63" spans="2:35">
      <c r="B63" s="29"/>
      <c r="C63" s="23"/>
      <c r="D63" s="41" t="s">
        <v>33</v>
      </c>
      <c r="E63" s="40">
        <v>171621</v>
      </c>
      <c r="F63" s="40">
        <v>86917</v>
      </c>
      <c r="G63" s="40">
        <v>45430</v>
      </c>
      <c r="H63" s="40">
        <v>23630</v>
      </c>
      <c r="I63" s="40">
        <v>17625</v>
      </c>
      <c r="J63" s="40">
        <v>14514</v>
      </c>
      <c r="K63" s="20"/>
      <c r="L63" s="20"/>
      <c r="M63" s="40">
        <v>1477230</v>
      </c>
      <c r="N63" s="40">
        <v>765413</v>
      </c>
      <c r="O63" s="40">
        <v>410398</v>
      </c>
      <c r="P63" s="40">
        <v>234333</v>
      </c>
      <c r="Q63" s="40">
        <v>321757</v>
      </c>
      <c r="R63" s="40">
        <v>645606</v>
      </c>
      <c r="S63" s="20"/>
      <c r="T63" s="20"/>
      <c r="U63" s="40">
        <v>51014678</v>
      </c>
      <c r="V63" s="40">
        <v>25686020</v>
      </c>
      <c r="W63" s="40">
        <v>12921897</v>
      </c>
      <c r="X63" s="40">
        <v>7365869</v>
      </c>
      <c r="Y63" s="40">
        <v>7158362</v>
      </c>
      <c r="Z63" s="40">
        <v>6465765</v>
      </c>
      <c r="AA63" s="20"/>
      <c r="AB63" s="20"/>
      <c r="AC63" s="40">
        <v>589087730</v>
      </c>
      <c r="AD63" s="40">
        <v>291942263</v>
      </c>
      <c r="AE63" s="40">
        <v>143622636</v>
      </c>
      <c r="AF63" s="40">
        <v>83856697</v>
      </c>
      <c r="AG63" s="40">
        <v>75818544</v>
      </c>
      <c r="AH63" s="42">
        <v>69363944</v>
      </c>
      <c r="AI63" s="21"/>
    </row>
    <row r="64" spans="2:35">
      <c r="B64" s="29"/>
      <c r="C64" s="23"/>
      <c r="D64" s="41" t="s">
        <v>34</v>
      </c>
      <c r="E64" s="40">
        <v>171911</v>
      </c>
      <c r="F64" s="40">
        <v>88035</v>
      </c>
      <c r="G64" s="40">
        <v>45850</v>
      </c>
      <c r="H64" s="40">
        <v>23768</v>
      </c>
      <c r="I64" s="40">
        <v>17707</v>
      </c>
      <c r="J64" s="40">
        <v>18519</v>
      </c>
      <c r="K64" s="20"/>
      <c r="L64" s="20"/>
      <c r="M64" s="40">
        <v>1537910</v>
      </c>
      <c r="N64" s="40">
        <v>789856</v>
      </c>
      <c r="O64" s="40">
        <v>392800</v>
      </c>
      <c r="P64" s="40">
        <v>221294</v>
      </c>
      <c r="Q64" s="40">
        <v>324960</v>
      </c>
      <c r="R64" s="40">
        <v>630739</v>
      </c>
      <c r="S64" s="20"/>
      <c r="T64" s="20"/>
      <c r="U64" s="40">
        <v>51218962</v>
      </c>
      <c r="V64" s="40">
        <v>25883825</v>
      </c>
      <c r="W64" s="40">
        <v>12975955</v>
      </c>
      <c r="X64" s="40">
        <v>7500674</v>
      </c>
      <c r="Y64" s="40">
        <v>7293052</v>
      </c>
      <c r="Z64" s="40">
        <v>6324604</v>
      </c>
      <c r="AA64" s="20"/>
      <c r="AB64" s="20"/>
      <c r="AC64" s="40">
        <v>578389267</v>
      </c>
      <c r="AD64" s="40">
        <v>290351419</v>
      </c>
      <c r="AE64" s="40">
        <v>143485132</v>
      </c>
      <c r="AF64" s="40">
        <v>82979231</v>
      </c>
      <c r="AG64" s="40">
        <v>76119614</v>
      </c>
      <c r="AH64" s="42">
        <v>68075691</v>
      </c>
      <c r="AI64" s="21"/>
    </row>
    <row r="65" spans="2:35">
      <c r="B65" s="29"/>
      <c r="C65" s="23"/>
      <c r="D65" s="41" t="s">
        <v>35</v>
      </c>
      <c r="E65" s="40">
        <v>172292</v>
      </c>
      <c r="F65" s="40">
        <v>88220</v>
      </c>
      <c r="G65" s="40">
        <v>45354</v>
      </c>
      <c r="H65" s="40">
        <v>23781</v>
      </c>
      <c r="I65" s="40">
        <v>17580</v>
      </c>
      <c r="J65" s="40">
        <v>20191</v>
      </c>
      <c r="K65" s="20"/>
      <c r="L65" s="20"/>
      <c r="M65" s="40">
        <v>1483938</v>
      </c>
      <c r="N65" s="40">
        <v>776120</v>
      </c>
      <c r="O65" s="40">
        <v>385906</v>
      </c>
      <c r="P65" s="40">
        <v>219648</v>
      </c>
      <c r="Q65" s="40">
        <v>323395</v>
      </c>
      <c r="R65" s="40">
        <v>645046</v>
      </c>
      <c r="S65" s="20"/>
      <c r="T65" s="20"/>
      <c r="U65" s="40">
        <v>50938626</v>
      </c>
      <c r="V65" s="40">
        <v>25736337</v>
      </c>
      <c r="W65" s="40">
        <v>12998941</v>
      </c>
      <c r="X65" s="40">
        <v>7368499</v>
      </c>
      <c r="Y65" s="40">
        <v>7154979</v>
      </c>
      <c r="Z65" s="40">
        <v>6270432</v>
      </c>
      <c r="AA65" s="20"/>
      <c r="AB65" s="20"/>
      <c r="AC65" s="40">
        <v>588106455</v>
      </c>
      <c r="AD65" s="40">
        <v>291864136</v>
      </c>
      <c r="AE65" s="40">
        <v>147310441</v>
      </c>
      <c r="AF65" s="40">
        <v>83937774</v>
      </c>
      <c r="AG65" s="40">
        <v>74663409</v>
      </c>
      <c r="AH65" s="42">
        <v>67333625</v>
      </c>
      <c r="AI65" s="21"/>
    </row>
    <row r="66" spans="2:35">
      <c r="B66" s="29"/>
      <c r="C66" s="23"/>
      <c r="D66" s="41" t="s">
        <v>36</v>
      </c>
      <c r="E66" s="40">
        <v>168290</v>
      </c>
      <c r="F66" s="40">
        <v>88335</v>
      </c>
      <c r="G66" s="40">
        <v>45126</v>
      </c>
      <c r="H66" s="40">
        <v>23685</v>
      </c>
      <c r="I66" s="40">
        <v>17484</v>
      </c>
      <c r="J66" s="40">
        <v>20349</v>
      </c>
      <c r="K66" s="20"/>
      <c r="L66" s="20"/>
      <c r="M66" s="40">
        <v>1478643</v>
      </c>
      <c r="N66" s="40">
        <v>788035</v>
      </c>
      <c r="O66" s="40">
        <v>387846</v>
      </c>
      <c r="P66" s="40">
        <v>221640</v>
      </c>
      <c r="Q66" s="40">
        <v>335274</v>
      </c>
      <c r="R66" s="40">
        <v>620688</v>
      </c>
      <c r="S66" s="20"/>
      <c r="T66" s="20"/>
      <c r="U66" s="40">
        <v>51473628</v>
      </c>
      <c r="V66" s="40">
        <v>26163061</v>
      </c>
      <c r="W66" s="40">
        <v>13024300</v>
      </c>
      <c r="X66" s="40">
        <v>7417866</v>
      </c>
      <c r="Y66" s="40">
        <v>7393607</v>
      </c>
      <c r="Z66" s="40">
        <v>6251393</v>
      </c>
      <c r="AA66" s="20"/>
      <c r="AB66" s="20"/>
      <c r="AC66" s="40">
        <v>575291686</v>
      </c>
      <c r="AD66" s="40">
        <v>294734069</v>
      </c>
      <c r="AE66" s="40">
        <v>145254667</v>
      </c>
      <c r="AF66" s="40">
        <v>81931848</v>
      </c>
      <c r="AG66" s="40">
        <v>74966669</v>
      </c>
      <c r="AH66" s="42">
        <v>68377966</v>
      </c>
      <c r="AI66" s="21"/>
    </row>
    <row r="67" spans="2:35">
      <c r="B67" s="29"/>
      <c r="C67" s="23"/>
      <c r="D67" s="41" t="s">
        <v>37</v>
      </c>
      <c r="E67" s="40">
        <v>172119</v>
      </c>
      <c r="F67" s="40">
        <v>88520</v>
      </c>
      <c r="G67" s="40">
        <v>45057</v>
      </c>
      <c r="H67" s="40">
        <v>23741</v>
      </c>
      <c r="I67" s="40">
        <v>17675</v>
      </c>
      <c r="J67" s="40">
        <v>16164</v>
      </c>
      <c r="K67" s="20"/>
      <c r="L67" s="20"/>
      <c r="M67" s="40">
        <v>1572545</v>
      </c>
      <c r="N67" s="40">
        <v>773662</v>
      </c>
      <c r="O67" s="40">
        <v>389673</v>
      </c>
      <c r="P67" s="40">
        <v>222229</v>
      </c>
      <c r="Q67" s="40">
        <v>324041</v>
      </c>
      <c r="R67" s="40">
        <v>632291</v>
      </c>
      <c r="S67" s="20"/>
      <c r="T67" s="20"/>
      <c r="U67" s="40">
        <v>51879994</v>
      </c>
      <c r="V67" s="40">
        <v>25842684</v>
      </c>
      <c r="W67" s="40">
        <v>12987610</v>
      </c>
      <c r="X67" s="40">
        <v>7378207</v>
      </c>
      <c r="Y67" s="40">
        <v>7159126</v>
      </c>
      <c r="Z67" s="40">
        <v>6273730</v>
      </c>
      <c r="AA67" s="20"/>
      <c r="AB67" s="20"/>
      <c r="AC67" s="40">
        <v>582176061</v>
      </c>
      <c r="AD67" s="40">
        <v>293858720</v>
      </c>
      <c r="AE67" s="40">
        <v>143568473</v>
      </c>
      <c r="AF67" s="40">
        <v>84350029</v>
      </c>
      <c r="AG67" s="40">
        <v>77726624</v>
      </c>
      <c r="AH67" s="42">
        <v>68181691</v>
      </c>
      <c r="AI67" s="21"/>
    </row>
    <row r="68" spans="2:35">
      <c r="B68" s="29"/>
      <c r="C68" s="23"/>
      <c r="D68" s="41" t="s">
        <v>38</v>
      </c>
      <c r="E68" s="40">
        <v>171947</v>
      </c>
      <c r="F68" s="40">
        <v>87803</v>
      </c>
      <c r="G68" s="40">
        <v>45485</v>
      </c>
      <c r="H68" s="40">
        <v>23760</v>
      </c>
      <c r="I68" s="40">
        <v>17442</v>
      </c>
      <c r="J68" s="40">
        <v>19148</v>
      </c>
      <c r="K68" s="20"/>
      <c r="L68" s="20"/>
      <c r="M68" s="40">
        <v>1428724</v>
      </c>
      <c r="N68" s="40">
        <v>800016</v>
      </c>
      <c r="O68" s="40">
        <v>393552</v>
      </c>
      <c r="P68" s="40">
        <v>229570</v>
      </c>
      <c r="Q68" s="40">
        <v>330204</v>
      </c>
      <c r="R68" s="40">
        <v>639030</v>
      </c>
      <c r="S68" s="20"/>
      <c r="T68" s="20"/>
      <c r="U68" s="40">
        <v>50066143</v>
      </c>
      <c r="V68" s="40">
        <v>25993796</v>
      </c>
      <c r="W68" s="40">
        <v>12978555</v>
      </c>
      <c r="X68" s="40">
        <v>7395355</v>
      </c>
      <c r="Y68" s="40">
        <v>7170124</v>
      </c>
      <c r="Z68" s="40">
        <v>6266950</v>
      </c>
      <c r="AA68" s="20"/>
      <c r="AB68" s="20"/>
      <c r="AC68" s="40">
        <v>588186181</v>
      </c>
      <c r="AD68" s="40">
        <v>302370191</v>
      </c>
      <c r="AE68" s="40">
        <v>144215586</v>
      </c>
      <c r="AF68" s="40">
        <v>83032858</v>
      </c>
      <c r="AG68" s="40">
        <v>75192242</v>
      </c>
      <c r="AH68" s="42">
        <v>68535118</v>
      </c>
      <c r="AI68" s="21"/>
    </row>
    <row r="69" spans="2:35">
      <c r="B69" s="29"/>
      <c r="C69" s="23"/>
      <c r="D69" s="41" t="s">
        <v>39</v>
      </c>
      <c r="E69" s="40">
        <v>171467</v>
      </c>
      <c r="F69" s="40">
        <v>87911</v>
      </c>
      <c r="G69" s="40">
        <v>47081</v>
      </c>
      <c r="H69" s="40">
        <v>23718</v>
      </c>
      <c r="I69" s="40">
        <v>17616</v>
      </c>
      <c r="J69" s="40">
        <v>18034</v>
      </c>
      <c r="K69" s="20"/>
      <c r="L69" s="20"/>
      <c r="M69" s="40">
        <v>1481165</v>
      </c>
      <c r="N69" s="40">
        <v>776470</v>
      </c>
      <c r="O69" s="40">
        <v>390841</v>
      </c>
      <c r="P69" s="40">
        <v>222712</v>
      </c>
      <c r="Q69" s="40">
        <v>330260</v>
      </c>
      <c r="R69" s="40">
        <v>635922</v>
      </c>
      <c r="S69" s="20"/>
      <c r="T69" s="20"/>
      <c r="U69" s="40">
        <v>51874725</v>
      </c>
      <c r="V69" s="40">
        <v>25884591</v>
      </c>
      <c r="W69" s="40">
        <v>13013114</v>
      </c>
      <c r="X69" s="40">
        <v>7371323</v>
      </c>
      <c r="Y69" s="40">
        <v>7160698</v>
      </c>
      <c r="Z69" s="40">
        <v>6382235</v>
      </c>
      <c r="AA69" s="20"/>
      <c r="AB69" s="20"/>
      <c r="AC69" s="40">
        <v>583531128</v>
      </c>
      <c r="AD69" s="40">
        <v>292841560</v>
      </c>
      <c r="AE69" s="40">
        <v>146227637</v>
      </c>
      <c r="AF69" s="40">
        <v>84871763</v>
      </c>
      <c r="AG69" s="40">
        <v>77442512</v>
      </c>
      <c r="AH69" s="42">
        <v>68918682</v>
      </c>
      <c r="AI69" s="21"/>
    </row>
    <row r="70" spans="2:35">
      <c r="B70" s="29"/>
      <c r="C70" s="23"/>
      <c r="D70" s="41" t="s">
        <v>40</v>
      </c>
      <c r="E70" s="40">
        <v>172306</v>
      </c>
      <c r="F70" s="40">
        <v>87787</v>
      </c>
      <c r="G70" s="40">
        <v>46359</v>
      </c>
      <c r="H70" s="40">
        <v>23813</v>
      </c>
      <c r="I70" s="40">
        <v>17444</v>
      </c>
      <c r="J70" s="40">
        <v>18697</v>
      </c>
      <c r="K70" s="20"/>
      <c r="L70" s="20"/>
      <c r="M70" s="40">
        <v>1532774</v>
      </c>
      <c r="N70" s="40">
        <v>754017</v>
      </c>
      <c r="O70" s="40">
        <v>407396</v>
      </c>
      <c r="P70" s="40">
        <v>223780</v>
      </c>
      <c r="Q70" s="40">
        <v>325176</v>
      </c>
      <c r="R70" s="40">
        <v>641151</v>
      </c>
      <c r="S70" s="20"/>
      <c r="T70" s="20"/>
      <c r="U70" s="40">
        <v>52502384</v>
      </c>
      <c r="V70" s="40">
        <v>26345055</v>
      </c>
      <c r="W70" s="40">
        <v>12977819</v>
      </c>
      <c r="X70" s="40">
        <v>7440874</v>
      </c>
      <c r="Y70" s="40">
        <v>7264085</v>
      </c>
      <c r="Z70" s="40">
        <v>6368063</v>
      </c>
      <c r="AA70" s="20"/>
      <c r="AB70" s="20"/>
      <c r="AC70" s="40">
        <v>582548683</v>
      </c>
      <c r="AD70" s="40">
        <v>290654707</v>
      </c>
      <c r="AE70" s="40">
        <v>144099595</v>
      </c>
      <c r="AF70" s="40">
        <v>84298864</v>
      </c>
      <c r="AG70" s="40">
        <v>76303608</v>
      </c>
      <c r="AH70" s="42">
        <v>69334681</v>
      </c>
      <c r="AI70" s="21"/>
    </row>
    <row r="71" spans="2:35" ht="15.95" thickBot="1">
      <c r="B71" s="29"/>
      <c r="C71" s="24"/>
      <c r="D71" s="36" t="s">
        <v>41</v>
      </c>
      <c r="E71" s="25" cm="1">
        <f t="array" ref="E71">ROUND(AVERAGE(IF((ISNUMBER(E41:E70))*(E41:E70&lt;LARGE(E41:E70,2))*(E41:E70&gt;SMALL(E41:E70,2)),E41:E70)),0)</f>
        <v>171237</v>
      </c>
      <c r="F71" s="25" cm="1">
        <f t="array" ref="F71">ROUND(AVERAGE(IF((ISNUMBER(F41:F70))*(F41:F70&lt;LARGE(F41:F70,2))*(F41:F70&gt;SMALL(F41:F70,2)),F41:F70)),0)</f>
        <v>88549</v>
      </c>
      <c r="G71" s="25" cm="1">
        <f t="array" ref="G71">ROUND(AVERAGE(IF((ISNUMBER(G41:G70))*(G41:G70&lt;LARGE(G41:G70,2))*(G41:G70&gt;SMALL(G41:G70,2)),G41:G70)),0)</f>
        <v>45627</v>
      </c>
      <c r="H71" s="25" cm="1">
        <f t="array" ref="H71">ROUND(AVERAGE(IF((ISNUMBER(H41:H70))*(H41:H70&lt;LARGE(H41:H70,2))*(H41:H70&gt;SMALL(H41:H70,2)),H41:H70)),0)</f>
        <v>23735</v>
      </c>
      <c r="I71" s="25" cm="1">
        <f t="array" ref="I71">ROUND(AVERAGE(IF((ISNUMBER(I41:I70))*(I41:I70&lt;LARGE(I41:I70,2))*(I41:I70&gt;SMALL(I41:I70,2)),I41:I70)),0)</f>
        <v>17595</v>
      </c>
      <c r="J71" s="25" cm="1">
        <f t="array" ref="J71">ROUND(AVERAGE(IF((ISNUMBER(J41:J70))*(J41:J70&lt;LARGE(J41:J70,2))*(J41:J70&gt;SMALL(J41:J70,2)),J41:J70)),0)</f>
        <v>17716</v>
      </c>
      <c r="K71" s="25"/>
      <c r="L71" s="25"/>
      <c r="M71" s="25" cm="1">
        <f t="array" ref="M71">ROUND(AVERAGE(IF((ISNUMBER(M41:M70))*(M41:M70&lt;LARGE(M41:M70,2))*(M41:M70&gt;SMALL(M41:M70,2)),M41:M70)),0)</f>
        <v>1501673</v>
      </c>
      <c r="N71" s="25" cm="1">
        <f t="array" ref="N71">ROUND(AVERAGE(IF((ISNUMBER(N41:N70))*(N41:N70&lt;LARGE(N41:N70,2))*(N41:N70&gt;SMALL(N41:N70,2)),N41:N70)),0)</f>
        <v>780378</v>
      </c>
      <c r="O71" s="25" cm="1">
        <f t="array" ref="O71">ROUND(AVERAGE(IF((ISNUMBER(O41:O70))*(O41:O70&lt;LARGE(O41:O70,2))*(O41:O70&gt;SMALL(O41:O70,2)),O41:O70)),0)</f>
        <v>392411</v>
      </c>
      <c r="P71" s="25" cm="1">
        <f t="array" ref="P71">ROUND(AVERAGE(IF((ISNUMBER(P41:P70))*(P41:P70&lt;LARGE(P41:P70,2))*(P41:P70&gt;SMALL(P41:P70,2)),P41:P70)),0)</f>
        <v>222592</v>
      </c>
      <c r="Q71" s="25" cm="1">
        <f t="array" ref="Q71">ROUND(AVERAGE(IF((ISNUMBER(Q41:Q70))*(Q41:Q70&lt;LARGE(Q41:Q70,2))*(Q41:Q70&gt;SMALL(Q41:Q70,2)),Q41:Q70)),0)</f>
        <v>326072</v>
      </c>
      <c r="R71" s="25" cm="1">
        <f t="array" ref="R71">ROUND(AVERAGE(IF((ISNUMBER(R41:R70))*(R41:R70&lt;LARGE(R41:R70,2))*(R41:R70&gt;SMALL(R41:R70,2)),R41:R70)),0)</f>
        <v>637842</v>
      </c>
      <c r="S71" s="25"/>
      <c r="T71" s="25"/>
      <c r="U71" s="25" cm="1">
        <f t="array" ref="U71">ROUND(AVERAGE(IF((ISNUMBER(U41:U70))*(U41:U70&lt;LARGE(U41:U70,2))*(U41:U70&gt;SMALL(U41:U70,2)),U41:U70)),0)</f>
        <v>51337148</v>
      </c>
      <c r="V71" s="25" cm="1">
        <f t="array" ref="V71">ROUND(AVERAGE(IF((ISNUMBER(V41:V70))*(V41:V70&lt;LARGE(V41:V70,2))*(V41:V70&gt;SMALL(V41:V70,2)),V41:V70)),0)</f>
        <v>26115391</v>
      </c>
      <c r="W71" s="25" cm="1">
        <f t="array" ref="W71">ROUND(AVERAGE(IF((ISNUMBER(W41:W70))*(W41:W70&lt;LARGE(W41:W70,2))*(W41:W70&gt;SMALL(W41:W70,2)),W41:W70)),0)</f>
        <v>13005333</v>
      </c>
      <c r="X71" s="25" cm="1">
        <f t="array" ref="X71">ROUND(AVERAGE(IF((ISNUMBER(X41:X70))*(X41:X70&lt;LARGE(X41:X70,2))*(X41:X70&gt;SMALL(X41:X70,2)),X41:X70)),0)</f>
        <v>7403739</v>
      </c>
      <c r="Y71" s="25" cm="1">
        <f t="array" ref="Y71">ROUND(AVERAGE(IF((ISNUMBER(Y41:Y70))*(Y41:Y70&lt;LARGE(Y41:Y70,2))*(Y41:Y70&gt;SMALL(Y41:Y70,2)),Y41:Y70)),0)</f>
        <v>7228771</v>
      </c>
      <c r="Z71" s="25" cm="1">
        <f t="array" ref="Z71">ROUND(AVERAGE(IF((ISNUMBER(Z41:Z70))*(Z41:Z70&lt;LARGE(Z41:Z70,2))*(Z41:Z70&gt;SMALL(Z41:Z70,2)),Z41:Z70)),0)</f>
        <v>6310075</v>
      </c>
      <c r="AA71" s="25"/>
      <c r="AB71" s="25"/>
      <c r="AC71" s="25" cm="1">
        <f t="array" ref="AC71">ROUND(AVERAGE(IF((ISNUMBER(AC41:AC70))*(AC41:AC70&lt;LARGE(AC41:AC70,2))*(AC41:AC70&gt;SMALL(AC41:AC70,2)),AC41:AC70)),0)</f>
        <v>584694243</v>
      </c>
      <c r="AD71" s="25" cm="1">
        <f t="array" ref="AD71">ROUND(AVERAGE(IF((ISNUMBER(AD41:AD70))*(AD41:AD70&lt;LARGE(AD41:AD70,2))*(AD41:AD70&gt;SMALL(AD41:AD70,2)),AD41:AD70)),0)</f>
        <v>291723641</v>
      </c>
      <c r="AE71" s="25" cm="1">
        <f t="array" ref="AE71">ROUND(AVERAGE(IF((ISNUMBER(AE41:AE70))*(AE41:AE70&lt;LARGE(AE41:AE70,2))*(AE41:AE70&gt;SMALL(AE41:AE70,2)),AE41:AE70)),0)</f>
        <v>145434369</v>
      </c>
      <c r="AF71" s="25" cm="1">
        <f t="array" ref="AF71">ROUND(AVERAGE(IF((ISNUMBER(AF41:AF70))*(AF41:AF70&lt;LARGE(AF41:AF70,2))*(AF41:AF70&gt;SMALL(AF41:AF70,2)),AF41:AF70)),0)</f>
        <v>83805191</v>
      </c>
      <c r="AG71" s="25" cm="1">
        <f t="array" ref="AG71">ROUND(AVERAGE(IF((ISNUMBER(AG41:AG70))*(AG41:AG70&lt;LARGE(AG41:AG70,2))*(AG41:AG70&gt;SMALL(AG41:AG70,2)),AG41:AG70)),0)</f>
        <v>76371487</v>
      </c>
      <c r="AH71" s="25" cm="1">
        <f t="array" ref="AH71">ROUND(AVERAGE(IF((ISNUMBER(AH41:AH70))*(AH41:AH70&lt;LARGE(AH41:AH70,2))*(AH41:AH70&gt;SMALL(AH41:AH70,2)),AH41:AH70)),0)</f>
        <v>68335172</v>
      </c>
      <c r="AI71" s="21"/>
    </row>
    <row r="72" spans="2:35" ht="15.95" thickBot="1">
      <c r="B72" s="30"/>
      <c r="C72" s="27"/>
      <c r="D72" s="3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8"/>
    </row>
    <row r="73" spans="2:35" ht="15.95" thickBot="1">
      <c r="B73" s="31"/>
      <c r="D73" s="1"/>
    </row>
    <row r="74" spans="2:35" ht="36.950000000000003">
      <c r="B74" s="32" t="s">
        <v>43</v>
      </c>
      <c r="C74" s="15"/>
      <c r="D74" s="38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7"/>
    </row>
    <row r="75" spans="2:35" ht="15.95" thickBot="1">
      <c r="B75" s="33"/>
      <c r="C75" s="19"/>
      <c r="D75" s="39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1"/>
    </row>
    <row r="76" spans="2:35">
      <c r="B76" s="29"/>
      <c r="C76" s="43" t="s">
        <v>1</v>
      </c>
      <c r="D76" s="34"/>
      <c r="E76" s="34" t="s">
        <v>2</v>
      </c>
      <c r="F76" s="34" t="s">
        <v>3</v>
      </c>
      <c r="G76" s="34" t="s">
        <v>4</v>
      </c>
      <c r="H76" s="34" t="s">
        <v>5</v>
      </c>
      <c r="I76" s="34" t="s">
        <v>6</v>
      </c>
      <c r="J76" s="34" t="s">
        <v>7</v>
      </c>
      <c r="K76" s="45" t="s">
        <v>8</v>
      </c>
      <c r="L76" s="45"/>
      <c r="M76" s="34" t="s">
        <v>2</v>
      </c>
      <c r="N76" s="34" t="s">
        <v>3</v>
      </c>
      <c r="O76" s="34" t="s">
        <v>4</v>
      </c>
      <c r="P76" s="34" t="s">
        <v>5</v>
      </c>
      <c r="Q76" s="34" t="s">
        <v>6</v>
      </c>
      <c r="R76" s="34" t="s">
        <v>7</v>
      </c>
      <c r="S76" s="45" t="s">
        <v>9</v>
      </c>
      <c r="T76" s="45"/>
      <c r="U76" s="34" t="s">
        <v>2</v>
      </c>
      <c r="V76" s="34" t="s">
        <v>3</v>
      </c>
      <c r="W76" s="34" t="s">
        <v>4</v>
      </c>
      <c r="X76" s="34" t="s">
        <v>5</v>
      </c>
      <c r="Y76" s="34" t="s">
        <v>6</v>
      </c>
      <c r="Z76" s="34" t="s">
        <v>7</v>
      </c>
      <c r="AA76" s="45" t="s">
        <v>10</v>
      </c>
      <c r="AB76" s="45"/>
      <c r="AC76" s="34" t="s">
        <v>2</v>
      </c>
      <c r="AD76" s="34" t="s">
        <v>3</v>
      </c>
      <c r="AE76" s="34" t="s">
        <v>4</v>
      </c>
      <c r="AF76" s="34" t="s">
        <v>5</v>
      </c>
      <c r="AG76" s="34" t="s">
        <v>6</v>
      </c>
      <c r="AH76" s="35" t="s">
        <v>7</v>
      </c>
      <c r="AI76" s="21"/>
    </row>
    <row r="77" spans="2:35">
      <c r="B77" s="29"/>
      <c r="C77" s="23"/>
      <c r="D77" s="41" t="s">
        <v>11</v>
      </c>
      <c r="E77" s="40">
        <v>442746</v>
      </c>
      <c r="F77" s="40">
        <v>228160</v>
      </c>
      <c r="G77" s="40">
        <v>114962</v>
      </c>
      <c r="H77" s="40">
        <v>59769</v>
      </c>
      <c r="I77" s="40">
        <v>79401</v>
      </c>
      <c r="J77" s="40">
        <v>54665</v>
      </c>
      <c r="K77" s="20"/>
      <c r="L77" s="20"/>
      <c r="M77" s="40">
        <v>4250417</v>
      </c>
      <c r="N77" s="40">
        <v>2329727</v>
      </c>
      <c r="O77" s="40">
        <v>1159560</v>
      </c>
      <c r="P77" s="40">
        <v>606820</v>
      </c>
      <c r="Q77" s="40">
        <v>703958</v>
      </c>
      <c r="R77" s="40">
        <v>705175</v>
      </c>
      <c r="S77" s="20"/>
      <c r="T77" s="20"/>
      <c r="U77" s="40">
        <v>60428000</v>
      </c>
      <c r="V77" s="40">
        <v>29787415</v>
      </c>
      <c r="W77" s="40">
        <v>14740237</v>
      </c>
      <c r="X77" s="40">
        <v>8241047</v>
      </c>
      <c r="Y77" s="40">
        <v>8305641</v>
      </c>
      <c r="Z77" s="40">
        <v>7068419</v>
      </c>
      <c r="AA77" s="20"/>
      <c r="AB77" s="20"/>
      <c r="AC77" s="40">
        <v>595245546</v>
      </c>
      <c r="AD77" s="40">
        <v>265823018</v>
      </c>
      <c r="AE77" s="40">
        <v>157918892</v>
      </c>
      <c r="AF77" s="40">
        <v>78433345</v>
      </c>
      <c r="AG77" s="40">
        <v>77028537</v>
      </c>
      <c r="AH77" s="42">
        <v>75144268</v>
      </c>
      <c r="AI77" s="21"/>
    </row>
    <row r="78" spans="2:35">
      <c r="B78" s="29"/>
      <c r="C78" s="23"/>
      <c r="D78" s="41" t="s">
        <v>12</v>
      </c>
      <c r="E78" s="40">
        <v>428455</v>
      </c>
      <c r="F78" s="40">
        <v>222980</v>
      </c>
      <c r="G78" s="40">
        <v>113734</v>
      </c>
      <c r="H78" s="40">
        <v>59673</v>
      </c>
      <c r="I78" s="40">
        <v>79540</v>
      </c>
      <c r="J78" s="40">
        <v>54198</v>
      </c>
      <c r="K78" s="20"/>
      <c r="L78" s="20"/>
      <c r="M78" s="40">
        <v>4381561</v>
      </c>
      <c r="N78" s="40">
        <v>2290480</v>
      </c>
      <c r="O78" s="40">
        <v>1166899</v>
      </c>
      <c r="P78" s="40">
        <v>601716</v>
      </c>
      <c r="Q78" s="40">
        <v>706056</v>
      </c>
      <c r="R78" s="40">
        <v>699636</v>
      </c>
      <c r="S78" s="20"/>
      <c r="T78" s="20"/>
      <c r="U78" s="40">
        <v>59484401</v>
      </c>
      <c r="V78" s="40">
        <v>30757203</v>
      </c>
      <c r="W78" s="40">
        <v>14772621</v>
      </c>
      <c r="X78" s="40">
        <v>8503940</v>
      </c>
      <c r="Y78" s="40">
        <v>8361843</v>
      </c>
      <c r="Z78" s="40">
        <v>7179506</v>
      </c>
      <c r="AA78" s="20"/>
      <c r="AB78" s="20"/>
      <c r="AC78" s="40">
        <v>626241868</v>
      </c>
      <c r="AD78" s="40">
        <v>269957164</v>
      </c>
      <c r="AE78" s="40">
        <v>136007738</v>
      </c>
      <c r="AF78" s="40">
        <v>79554485</v>
      </c>
      <c r="AG78" s="40">
        <v>78451015</v>
      </c>
      <c r="AH78" s="42">
        <v>75027608</v>
      </c>
      <c r="AI78" s="21"/>
    </row>
    <row r="79" spans="2:35">
      <c r="B79" s="29"/>
      <c r="C79" s="23"/>
      <c r="D79" s="41" t="s">
        <v>13</v>
      </c>
      <c r="E79" s="40">
        <v>433042</v>
      </c>
      <c r="F79" s="40">
        <v>225405</v>
      </c>
      <c r="G79" s="40">
        <v>115205</v>
      </c>
      <c r="H79" s="40">
        <v>60063</v>
      </c>
      <c r="I79" s="40">
        <v>79814</v>
      </c>
      <c r="J79" s="40">
        <v>59618</v>
      </c>
      <c r="K79" s="20"/>
      <c r="L79" s="20"/>
      <c r="M79" s="40">
        <v>4282495</v>
      </c>
      <c r="N79" s="40">
        <v>2215936</v>
      </c>
      <c r="O79" s="40">
        <v>1147595</v>
      </c>
      <c r="P79" s="40">
        <v>664199</v>
      </c>
      <c r="Q79" s="40">
        <v>703461</v>
      </c>
      <c r="R79" s="40">
        <v>697984</v>
      </c>
      <c r="S79" s="20"/>
      <c r="T79" s="20"/>
      <c r="U79" s="40">
        <v>59688355</v>
      </c>
      <c r="V79" s="40">
        <v>30788794</v>
      </c>
      <c r="W79" s="40">
        <v>14744167</v>
      </c>
      <c r="X79" s="40">
        <v>8366804</v>
      </c>
      <c r="Y79" s="40">
        <v>8338621</v>
      </c>
      <c r="Z79" s="40">
        <v>7081472</v>
      </c>
      <c r="AA79" s="20"/>
      <c r="AB79" s="20"/>
      <c r="AC79" s="40">
        <v>602640414</v>
      </c>
      <c r="AD79" s="40">
        <v>263309696</v>
      </c>
      <c r="AE79" s="40">
        <v>135727769</v>
      </c>
      <c r="AF79" s="40">
        <v>76480062</v>
      </c>
      <c r="AG79" s="40">
        <v>78659104</v>
      </c>
      <c r="AH79" s="42">
        <v>77012656</v>
      </c>
      <c r="AI79" s="21"/>
    </row>
    <row r="80" spans="2:35">
      <c r="B80" s="29"/>
      <c r="C80" s="23"/>
      <c r="D80" s="41" t="s">
        <v>14</v>
      </c>
      <c r="E80" s="40">
        <v>425047</v>
      </c>
      <c r="F80" s="40">
        <v>223105</v>
      </c>
      <c r="G80" s="40">
        <v>115211</v>
      </c>
      <c r="H80" s="40">
        <v>59549</v>
      </c>
      <c r="I80" s="40">
        <v>78897</v>
      </c>
      <c r="J80" s="40">
        <v>53534</v>
      </c>
      <c r="K80" s="20"/>
      <c r="L80" s="20"/>
      <c r="M80" s="40">
        <v>4420456</v>
      </c>
      <c r="N80" s="40">
        <v>2213689</v>
      </c>
      <c r="O80" s="40">
        <v>1140224</v>
      </c>
      <c r="P80" s="40">
        <v>654639</v>
      </c>
      <c r="Q80" s="40">
        <v>712702</v>
      </c>
      <c r="R80" s="40">
        <v>702306</v>
      </c>
      <c r="S80" s="20"/>
      <c r="T80" s="20"/>
      <c r="U80" s="40">
        <v>59407669</v>
      </c>
      <c r="V80" s="40">
        <v>30733426</v>
      </c>
      <c r="W80" s="40">
        <v>14752452</v>
      </c>
      <c r="X80" s="40">
        <v>8368861</v>
      </c>
      <c r="Y80" s="40">
        <v>8347170</v>
      </c>
      <c r="Z80" s="40">
        <v>7189787</v>
      </c>
      <c r="AA80" s="20"/>
      <c r="AB80" s="20"/>
      <c r="AC80" s="40">
        <v>626301105</v>
      </c>
      <c r="AD80" s="40">
        <v>263665248</v>
      </c>
      <c r="AE80" s="40">
        <v>135784701</v>
      </c>
      <c r="AF80" s="40">
        <v>76298756</v>
      </c>
      <c r="AG80" s="40">
        <v>76514547</v>
      </c>
      <c r="AH80" s="42">
        <v>75820810</v>
      </c>
      <c r="AI80" s="21"/>
    </row>
    <row r="81" spans="2:35">
      <c r="B81" s="29"/>
      <c r="C81" s="23"/>
      <c r="D81" s="41" t="s">
        <v>15</v>
      </c>
      <c r="E81" s="40">
        <v>430112</v>
      </c>
      <c r="F81" s="40">
        <v>226111</v>
      </c>
      <c r="G81" s="40">
        <v>114925</v>
      </c>
      <c r="H81" s="40">
        <v>60580</v>
      </c>
      <c r="I81" s="40">
        <v>77930</v>
      </c>
      <c r="J81" s="40">
        <v>53578</v>
      </c>
      <c r="K81" s="20"/>
      <c r="L81" s="20"/>
      <c r="M81" s="40">
        <v>4420042</v>
      </c>
      <c r="N81" s="40">
        <v>2249647</v>
      </c>
      <c r="O81" s="40">
        <v>1129544</v>
      </c>
      <c r="P81" s="40">
        <v>643497</v>
      </c>
      <c r="Q81" s="40">
        <v>705373</v>
      </c>
      <c r="R81" s="40">
        <v>696598</v>
      </c>
      <c r="S81" s="20"/>
      <c r="T81" s="20"/>
      <c r="U81" s="40">
        <v>59682671</v>
      </c>
      <c r="V81" s="40">
        <v>30984339</v>
      </c>
      <c r="W81" s="40">
        <v>14775872</v>
      </c>
      <c r="X81" s="40">
        <v>8303930</v>
      </c>
      <c r="Y81" s="40">
        <v>8333651</v>
      </c>
      <c r="Z81" s="40">
        <v>7225766</v>
      </c>
      <c r="AA81" s="20"/>
      <c r="AB81" s="20"/>
      <c r="AC81" s="40">
        <v>593081045</v>
      </c>
      <c r="AD81" s="40">
        <v>266875319</v>
      </c>
      <c r="AE81" s="40">
        <v>131627185</v>
      </c>
      <c r="AF81" s="40">
        <v>79186717</v>
      </c>
      <c r="AG81" s="40">
        <v>77928565</v>
      </c>
      <c r="AH81" s="42">
        <v>76320871</v>
      </c>
      <c r="AI81" s="21"/>
    </row>
    <row r="82" spans="2:35">
      <c r="B82" s="29"/>
      <c r="C82" s="23"/>
      <c r="D82" s="41" t="s">
        <v>16</v>
      </c>
      <c r="E82" s="40">
        <v>423685</v>
      </c>
      <c r="F82" s="40">
        <v>224120</v>
      </c>
      <c r="G82" s="40">
        <v>114097</v>
      </c>
      <c r="H82" s="40">
        <v>59410</v>
      </c>
      <c r="I82" s="40">
        <v>79633</v>
      </c>
      <c r="J82" s="40">
        <v>53863</v>
      </c>
      <c r="K82" s="20"/>
      <c r="L82" s="20"/>
      <c r="M82" s="40">
        <v>4272330</v>
      </c>
      <c r="N82" s="40">
        <v>2256647</v>
      </c>
      <c r="O82" s="40">
        <v>1169735</v>
      </c>
      <c r="P82" s="40">
        <v>650645</v>
      </c>
      <c r="Q82" s="40">
        <v>704519</v>
      </c>
      <c r="R82" s="40">
        <v>702188</v>
      </c>
      <c r="S82" s="20"/>
      <c r="T82" s="20"/>
      <c r="U82" s="40">
        <v>59475598</v>
      </c>
      <c r="V82" s="40">
        <v>30789487</v>
      </c>
      <c r="W82" s="40">
        <v>14733108</v>
      </c>
      <c r="X82" s="40">
        <v>8367740</v>
      </c>
      <c r="Y82" s="40">
        <v>8228098</v>
      </c>
      <c r="Z82" s="40">
        <v>7194379</v>
      </c>
      <c r="AA82" s="20"/>
      <c r="AB82" s="20"/>
      <c r="AC82" s="40">
        <v>610818729</v>
      </c>
      <c r="AD82" s="40">
        <v>263900309</v>
      </c>
      <c r="AE82" s="40">
        <v>135778480</v>
      </c>
      <c r="AF82" s="40">
        <v>79781062</v>
      </c>
      <c r="AG82" s="40">
        <v>76412382</v>
      </c>
      <c r="AH82" s="42">
        <v>74753261</v>
      </c>
      <c r="AI82" s="21"/>
    </row>
    <row r="83" spans="2:35">
      <c r="B83" s="29"/>
      <c r="C83" s="23"/>
      <c r="D83" s="41" t="s">
        <v>17</v>
      </c>
      <c r="E83" s="40">
        <v>426732</v>
      </c>
      <c r="F83" s="40">
        <v>224138</v>
      </c>
      <c r="G83" s="40">
        <v>114012</v>
      </c>
      <c r="H83" s="40">
        <v>60057</v>
      </c>
      <c r="I83" s="40">
        <v>78714</v>
      </c>
      <c r="J83" s="40">
        <v>53249</v>
      </c>
      <c r="K83" s="20"/>
      <c r="L83" s="20"/>
      <c r="M83" s="40">
        <v>4328356</v>
      </c>
      <c r="N83" s="40">
        <v>2284835</v>
      </c>
      <c r="O83" s="40">
        <v>1126466</v>
      </c>
      <c r="P83" s="40">
        <v>637205</v>
      </c>
      <c r="Q83" s="40">
        <v>712765</v>
      </c>
      <c r="R83" s="40">
        <v>693815</v>
      </c>
      <c r="S83" s="20"/>
      <c r="T83" s="20"/>
      <c r="U83" s="40">
        <v>59945033</v>
      </c>
      <c r="V83" s="40">
        <v>29511983</v>
      </c>
      <c r="W83" s="40">
        <v>14771512</v>
      </c>
      <c r="X83" s="40">
        <v>8360997</v>
      </c>
      <c r="Y83" s="40">
        <v>8348414</v>
      </c>
      <c r="Z83" s="40">
        <v>7174607</v>
      </c>
      <c r="AA83" s="20"/>
      <c r="AB83" s="20"/>
      <c r="AC83" s="40">
        <v>618663253</v>
      </c>
      <c r="AD83" s="40">
        <v>267590945</v>
      </c>
      <c r="AE83" s="40">
        <v>131594104</v>
      </c>
      <c r="AF83" s="40">
        <v>84476400</v>
      </c>
      <c r="AG83" s="40">
        <v>77246925</v>
      </c>
      <c r="AH83" s="42">
        <v>77130401</v>
      </c>
      <c r="AI83" s="21"/>
    </row>
    <row r="84" spans="2:35">
      <c r="B84" s="29"/>
      <c r="C84" s="23"/>
      <c r="D84" s="41" t="s">
        <v>18</v>
      </c>
      <c r="E84" s="40">
        <v>428041</v>
      </c>
      <c r="F84" s="40">
        <v>224100</v>
      </c>
      <c r="G84" s="40">
        <v>115619</v>
      </c>
      <c r="H84" s="40">
        <v>59485</v>
      </c>
      <c r="I84" s="40">
        <v>79414</v>
      </c>
      <c r="J84" s="40">
        <v>54556</v>
      </c>
      <c r="K84" s="20"/>
      <c r="L84" s="20"/>
      <c r="M84" s="40">
        <v>4433218</v>
      </c>
      <c r="N84" s="40">
        <v>2281860</v>
      </c>
      <c r="O84" s="40">
        <v>1153450</v>
      </c>
      <c r="P84" s="40">
        <v>651653</v>
      </c>
      <c r="Q84" s="40">
        <v>701744</v>
      </c>
      <c r="R84" s="40">
        <v>704619</v>
      </c>
      <c r="S84" s="20"/>
      <c r="T84" s="20"/>
      <c r="U84" s="40">
        <v>59602109</v>
      </c>
      <c r="V84" s="40">
        <v>30946592</v>
      </c>
      <c r="W84" s="40">
        <v>14766767</v>
      </c>
      <c r="X84" s="40">
        <v>8350126</v>
      </c>
      <c r="Y84" s="40">
        <v>8232413</v>
      </c>
      <c r="Z84" s="40">
        <v>7179443</v>
      </c>
      <c r="AA84" s="20"/>
      <c r="AB84" s="20"/>
      <c r="AC84" s="40">
        <v>632536155</v>
      </c>
      <c r="AD84" s="40">
        <v>264955752</v>
      </c>
      <c r="AE84" s="40">
        <v>135767502</v>
      </c>
      <c r="AF84" s="40">
        <v>79876978</v>
      </c>
      <c r="AG84" s="40">
        <v>79020929</v>
      </c>
      <c r="AH84" s="42">
        <v>76499165</v>
      </c>
      <c r="AI84" s="21"/>
    </row>
    <row r="85" spans="2:35">
      <c r="B85" s="29"/>
      <c r="C85" s="23"/>
      <c r="D85" s="41" t="s">
        <v>19</v>
      </c>
      <c r="E85" s="40">
        <v>425523</v>
      </c>
      <c r="F85" s="40">
        <v>223725</v>
      </c>
      <c r="G85" s="40">
        <v>115290</v>
      </c>
      <c r="H85" s="40">
        <v>59412</v>
      </c>
      <c r="I85" s="40">
        <v>79019</v>
      </c>
      <c r="J85" s="40">
        <v>53414</v>
      </c>
      <c r="K85" s="20"/>
      <c r="L85" s="20"/>
      <c r="M85" s="40">
        <v>4352538</v>
      </c>
      <c r="N85" s="40">
        <v>2245453</v>
      </c>
      <c r="O85" s="40">
        <v>1154288</v>
      </c>
      <c r="P85" s="40">
        <v>649194</v>
      </c>
      <c r="Q85" s="40">
        <v>715472</v>
      </c>
      <c r="R85" s="40">
        <v>712437</v>
      </c>
      <c r="S85" s="20"/>
      <c r="T85" s="20"/>
      <c r="U85" s="40">
        <v>58620098</v>
      </c>
      <c r="V85" s="40">
        <v>30815502</v>
      </c>
      <c r="W85" s="40">
        <v>14815701</v>
      </c>
      <c r="X85" s="40">
        <v>8381589</v>
      </c>
      <c r="Y85" s="40">
        <v>8228276</v>
      </c>
      <c r="Z85" s="40">
        <v>7163465</v>
      </c>
      <c r="AA85" s="20"/>
      <c r="AB85" s="20"/>
      <c r="AC85" s="40">
        <v>615726412</v>
      </c>
      <c r="AD85" s="40">
        <v>267857004</v>
      </c>
      <c r="AE85" s="40">
        <v>131491729</v>
      </c>
      <c r="AF85" s="40">
        <v>76984706</v>
      </c>
      <c r="AG85" s="40">
        <v>77382744</v>
      </c>
      <c r="AH85" s="42">
        <v>75541304</v>
      </c>
      <c r="AI85" s="21"/>
    </row>
    <row r="86" spans="2:35">
      <c r="B86" s="29"/>
      <c r="C86" s="23"/>
      <c r="D86" s="41" t="s">
        <v>20</v>
      </c>
      <c r="E86" s="40">
        <v>424750</v>
      </c>
      <c r="F86" s="40">
        <v>225628</v>
      </c>
      <c r="G86" s="40">
        <v>113699</v>
      </c>
      <c r="H86" s="40">
        <v>59334</v>
      </c>
      <c r="I86" s="40">
        <v>80431</v>
      </c>
      <c r="J86" s="40">
        <v>54605</v>
      </c>
      <c r="K86" s="20"/>
      <c r="L86" s="20"/>
      <c r="M86" s="40">
        <v>4421101</v>
      </c>
      <c r="N86" s="40">
        <v>2279493</v>
      </c>
      <c r="O86" s="40">
        <v>1156360</v>
      </c>
      <c r="P86" s="40">
        <v>673253</v>
      </c>
      <c r="Q86" s="40">
        <v>700573</v>
      </c>
      <c r="R86" s="40">
        <v>685492</v>
      </c>
      <c r="S86" s="20"/>
      <c r="T86" s="20"/>
      <c r="U86" s="40">
        <v>59897218</v>
      </c>
      <c r="V86" s="40">
        <v>29478753</v>
      </c>
      <c r="W86" s="40">
        <v>14723886</v>
      </c>
      <c r="X86" s="40">
        <v>8376967</v>
      </c>
      <c r="Y86" s="40">
        <v>8365216</v>
      </c>
      <c r="Z86" s="40">
        <v>7080417</v>
      </c>
      <c r="AA86" s="20"/>
      <c r="AB86" s="20"/>
      <c r="AC86" s="40">
        <v>612511512</v>
      </c>
      <c r="AD86" s="40">
        <v>269920733</v>
      </c>
      <c r="AE86" s="40">
        <v>135287479</v>
      </c>
      <c r="AF86" s="40">
        <v>74953957</v>
      </c>
      <c r="AG86" s="40">
        <v>76608109</v>
      </c>
      <c r="AH86" s="42">
        <v>75158945</v>
      </c>
      <c r="AI86" s="21"/>
    </row>
    <row r="87" spans="2:35">
      <c r="B87" s="29"/>
      <c r="C87" s="23"/>
      <c r="D87" s="41" t="s">
        <v>21</v>
      </c>
      <c r="E87" s="40">
        <v>428573</v>
      </c>
      <c r="F87" s="40">
        <v>223666</v>
      </c>
      <c r="G87" s="40">
        <v>114064</v>
      </c>
      <c r="H87" s="40">
        <v>59791</v>
      </c>
      <c r="I87" s="40">
        <v>78057</v>
      </c>
      <c r="J87" s="40">
        <v>54100</v>
      </c>
      <c r="K87" s="20"/>
      <c r="L87" s="20"/>
      <c r="M87" s="40">
        <v>4249509</v>
      </c>
      <c r="N87" s="40">
        <v>2226704</v>
      </c>
      <c r="O87" s="40">
        <v>1134999</v>
      </c>
      <c r="P87" s="40">
        <v>651667</v>
      </c>
      <c r="Q87" s="40">
        <v>697940</v>
      </c>
      <c r="R87" s="40">
        <v>711187</v>
      </c>
      <c r="S87" s="20"/>
      <c r="T87" s="20"/>
      <c r="U87" s="40">
        <v>61152621</v>
      </c>
      <c r="V87" s="40">
        <v>30684727</v>
      </c>
      <c r="W87" s="40">
        <v>14782223</v>
      </c>
      <c r="X87" s="40">
        <v>8333409</v>
      </c>
      <c r="Y87" s="40">
        <v>8294744</v>
      </c>
      <c r="Z87" s="40">
        <v>7096830</v>
      </c>
      <c r="AA87" s="20"/>
      <c r="AB87" s="20"/>
      <c r="AC87" s="40">
        <v>605952654</v>
      </c>
      <c r="AD87" s="40">
        <v>269157004</v>
      </c>
      <c r="AE87" s="40">
        <v>130877987</v>
      </c>
      <c r="AF87" s="40">
        <v>76753848</v>
      </c>
      <c r="AG87" s="40">
        <v>79928629</v>
      </c>
      <c r="AH87" s="42">
        <v>75577179</v>
      </c>
      <c r="AI87" s="21"/>
    </row>
    <row r="88" spans="2:35">
      <c r="B88" s="29"/>
      <c r="C88" s="23"/>
      <c r="D88" s="41" t="s">
        <v>22</v>
      </c>
      <c r="E88" s="40">
        <v>427020</v>
      </c>
      <c r="F88" s="40">
        <v>223669</v>
      </c>
      <c r="G88" s="40">
        <v>117197</v>
      </c>
      <c r="H88" s="40">
        <v>59526</v>
      </c>
      <c r="I88" s="40">
        <v>79076</v>
      </c>
      <c r="J88" s="40">
        <v>53989</v>
      </c>
      <c r="K88" s="20"/>
      <c r="L88" s="20"/>
      <c r="M88" s="40">
        <v>4418795</v>
      </c>
      <c r="N88" s="40">
        <v>2307481</v>
      </c>
      <c r="O88" s="40">
        <v>1164279</v>
      </c>
      <c r="P88" s="40">
        <v>649057</v>
      </c>
      <c r="Q88" s="40">
        <v>702881</v>
      </c>
      <c r="R88" s="40">
        <v>712868</v>
      </c>
      <c r="S88" s="20"/>
      <c r="T88" s="20"/>
      <c r="U88" s="40">
        <v>61046363</v>
      </c>
      <c r="V88" s="40">
        <v>30699909</v>
      </c>
      <c r="W88" s="40">
        <v>14779227</v>
      </c>
      <c r="X88" s="40">
        <v>8517678</v>
      </c>
      <c r="Y88" s="40">
        <v>8485156</v>
      </c>
      <c r="Z88" s="40">
        <v>7089972</v>
      </c>
      <c r="AA88" s="20"/>
      <c r="AB88" s="20"/>
      <c r="AC88" s="40">
        <v>620340464</v>
      </c>
      <c r="AD88" s="40">
        <v>270057092</v>
      </c>
      <c r="AE88" s="40">
        <v>136329042</v>
      </c>
      <c r="AF88" s="40">
        <v>74862747</v>
      </c>
      <c r="AG88" s="40">
        <v>80069149</v>
      </c>
      <c r="AH88" s="42">
        <v>77021974</v>
      </c>
      <c r="AI88" s="21"/>
    </row>
    <row r="89" spans="2:35">
      <c r="B89" s="29"/>
      <c r="C89" s="23"/>
      <c r="D89" s="41" t="s">
        <v>23</v>
      </c>
      <c r="E89" s="40">
        <v>424322</v>
      </c>
      <c r="F89" s="40">
        <v>223611</v>
      </c>
      <c r="G89" s="40">
        <v>114618</v>
      </c>
      <c r="H89" s="40">
        <v>59249</v>
      </c>
      <c r="I89" s="40">
        <v>79197</v>
      </c>
      <c r="J89" s="40">
        <v>53329</v>
      </c>
      <c r="K89" s="20"/>
      <c r="L89" s="20"/>
      <c r="M89" s="40">
        <v>4274985</v>
      </c>
      <c r="N89" s="40">
        <v>2256808</v>
      </c>
      <c r="O89" s="40">
        <v>1164977</v>
      </c>
      <c r="P89" s="40">
        <v>648110</v>
      </c>
      <c r="Q89" s="40">
        <v>699431</v>
      </c>
      <c r="R89" s="40">
        <v>708166</v>
      </c>
      <c r="S89" s="20"/>
      <c r="T89" s="20"/>
      <c r="U89" s="40">
        <v>61122381</v>
      </c>
      <c r="V89" s="40">
        <v>30795262</v>
      </c>
      <c r="W89" s="40">
        <v>14741278</v>
      </c>
      <c r="X89" s="40">
        <v>8550050</v>
      </c>
      <c r="Y89" s="40">
        <v>8651324</v>
      </c>
      <c r="Z89" s="40">
        <v>7049811</v>
      </c>
      <c r="AA89" s="20"/>
      <c r="AB89" s="20"/>
      <c r="AC89" s="40">
        <v>605231501</v>
      </c>
      <c r="AD89" s="40">
        <v>268650460</v>
      </c>
      <c r="AE89" s="40">
        <v>136270211</v>
      </c>
      <c r="AF89" s="40">
        <v>78628726</v>
      </c>
      <c r="AG89" s="40">
        <v>77501730</v>
      </c>
      <c r="AH89" s="42">
        <v>76391772</v>
      </c>
      <c r="AI89" s="21"/>
    </row>
    <row r="90" spans="2:35">
      <c r="B90" s="29"/>
      <c r="C90" s="23"/>
      <c r="D90" s="41" t="s">
        <v>24</v>
      </c>
      <c r="E90" s="40">
        <v>427289</v>
      </c>
      <c r="F90" s="40">
        <v>223556</v>
      </c>
      <c r="G90" s="40">
        <v>113665</v>
      </c>
      <c r="H90" s="40">
        <v>59593</v>
      </c>
      <c r="I90" s="40">
        <v>79537</v>
      </c>
      <c r="J90" s="40">
        <v>52491</v>
      </c>
      <c r="K90" s="20"/>
      <c r="L90" s="20"/>
      <c r="M90" s="40">
        <v>4418881</v>
      </c>
      <c r="N90" s="40">
        <v>2281507</v>
      </c>
      <c r="O90" s="40">
        <v>1123093</v>
      </c>
      <c r="P90" s="40">
        <v>642897</v>
      </c>
      <c r="Q90" s="40">
        <v>711511</v>
      </c>
      <c r="R90" s="40">
        <v>713968</v>
      </c>
      <c r="S90" s="20"/>
      <c r="T90" s="20"/>
      <c r="U90" s="40">
        <v>61102759</v>
      </c>
      <c r="V90" s="40">
        <v>30903413</v>
      </c>
      <c r="W90" s="40">
        <v>14783667</v>
      </c>
      <c r="X90" s="40">
        <v>8424519</v>
      </c>
      <c r="Y90" s="40">
        <v>13512934</v>
      </c>
      <c r="Z90" s="40">
        <v>7096615</v>
      </c>
      <c r="AA90" s="20"/>
      <c r="AB90" s="20"/>
      <c r="AC90" s="40">
        <v>609553379</v>
      </c>
      <c r="AD90" s="40">
        <v>270628385</v>
      </c>
      <c r="AE90" s="40">
        <v>132296706</v>
      </c>
      <c r="AF90" s="40">
        <v>75131416</v>
      </c>
      <c r="AG90" s="40">
        <v>77021291</v>
      </c>
      <c r="AH90" s="42">
        <v>75668799</v>
      </c>
      <c r="AI90" s="21"/>
    </row>
    <row r="91" spans="2:35">
      <c r="B91" s="29"/>
      <c r="C91" s="23"/>
      <c r="D91" s="41" t="s">
        <v>25</v>
      </c>
      <c r="E91" s="40">
        <v>433010</v>
      </c>
      <c r="F91" s="40">
        <v>225149</v>
      </c>
      <c r="G91" s="40">
        <v>113808</v>
      </c>
      <c r="H91" s="40">
        <v>59606</v>
      </c>
      <c r="I91" s="40">
        <v>80202</v>
      </c>
      <c r="J91" s="40">
        <v>53103</v>
      </c>
      <c r="K91" s="20"/>
      <c r="L91" s="20"/>
      <c r="M91" s="40">
        <v>4456226</v>
      </c>
      <c r="N91" s="40">
        <v>2258082</v>
      </c>
      <c r="O91" s="40">
        <v>1135273</v>
      </c>
      <c r="P91" s="40">
        <v>646801</v>
      </c>
      <c r="Q91" s="40">
        <v>718795</v>
      </c>
      <c r="R91" s="40">
        <v>708444</v>
      </c>
      <c r="S91" s="20"/>
      <c r="T91" s="20"/>
      <c r="U91" s="40">
        <v>61018913</v>
      </c>
      <c r="V91" s="40">
        <v>30707633</v>
      </c>
      <c r="W91" s="40">
        <v>14798624</v>
      </c>
      <c r="X91" s="40">
        <v>8552639</v>
      </c>
      <c r="Y91" s="40">
        <v>15140693</v>
      </c>
      <c r="Z91" s="40">
        <v>7241498</v>
      </c>
      <c r="AA91" s="20"/>
      <c r="AB91" s="20"/>
      <c r="AC91" s="40">
        <v>590314638</v>
      </c>
      <c r="AD91" s="40">
        <v>275247661</v>
      </c>
      <c r="AE91" s="40">
        <v>135463686</v>
      </c>
      <c r="AF91" s="40">
        <v>75775406</v>
      </c>
      <c r="AG91" s="40">
        <v>77661260</v>
      </c>
      <c r="AH91" s="42">
        <v>76410302</v>
      </c>
      <c r="AI91" s="21"/>
    </row>
    <row r="92" spans="2:35">
      <c r="B92" s="29"/>
      <c r="C92" s="23"/>
      <c r="D92" s="41" t="s">
        <v>26</v>
      </c>
      <c r="E92" s="40">
        <v>431339</v>
      </c>
      <c r="F92" s="40">
        <v>225597</v>
      </c>
      <c r="G92" s="40">
        <v>115195</v>
      </c>
      <c r="H92" s="40">
        <v>60789</v>
      </c>
      <c r="I92" s="40">
        <v>79447</v>
      </c>
      <c r="J92" s="40">
        <v>59649</v>
      </c>
      <c r="K92" s="20"/>
      <c r="L92" s="20"/>
      <c r="M92" s="40">
        <v>4322352</v>
      </c>
      <c r="N92" s="40">
        <v>2256945</v>
      </c>
      <c r="O92" s="40">
        <v>1134089</v>
      </c>
      <c r="P92" s="40">
        <v>662650</v>
      </c>
      <c r="Q92" s="40">
        <v>713972</v>
      </c>
      <c r="R92" s="40">
        <v>712440</v>
      </c>
      <c r="S92" s="20"/>
      <c r="T92" s="20"/>
      <c r="U92" s="40">
        <v>61135432</v>
      </c>
      <c r="V92" s="40">
        <v>30756720</v>
      </c>
      <c r="W92" s="40">
        <v>14787448</v>
      </c>
      <c r="X92" s="40">
        <v>8428601</v>
      </c>
      <c r="Y92" s="40">
        <v>8304539</v>
      </c>
      <c r="Z92" s="40">
        <v>7198889</v>
      </c>
      <c r="AA92" s="20"/>
      <c r="AB92" s="20"/>
      <c r="AC92" s="40">
        <v>607503173</v>
      </c>
      <c r="AD92" s="40">
        <v>287603985</v>
      </c>
      <c r="AE92" s="40">
        <v>135531804</v>
      </c>
      <c r="AF92" s="40">
        <v>75883313</v>
      </c>
      <c r="AG92" s="40">
        <v>77486586</v>
      </c>
      <c r="AH92" s="42">
        <v>75337551</v>
      </c>
      <c r="AI92" s="21"/>
    </row>
    <row r="93" spans="2:35">
      <c r="B93" s="29"/>
      <c r="C93" s="23"/>
      <c r="D93" s="41" t="s">
        <v>27</v>
      </c>
      <c r="E93" s="40">
        <v>426281</v>
      </c>
      <c r="F93" s="40">
        <v>224579</v>
      </c>
      <c r="G93" s="40">
        <v>113452</v>
      </c>
      <c r="H93" s="40">
        <v>59544</v>
      </c>
      <c r="I93" s="40">
        <v>78626</v>
      </c>
      <c r="J93" s="40">
        <v>59119</v>
      </c>
      <c r="K93" s="20"/>
      <c r="L93" s="20"/>
      <c r="M93" s="40">
        <v>4401582</v>
      </c>
      <c r="N93" s="40">
        <v>2280147</v>
      </c>
      <c r="O93" s="40">
        <v>1101758</v>
      </c>
      <c r="P93" s="40">
        <v>660456</v>
      </c>
      <c r="Q93" s="40">
        <v>700737</v>
      </c>
      <c r="R93" s="40">
        <v>700834</v>
      </c>
      <c r="S93" s="20"/>
      <c r="T93" s="20"/>
      <c r="U93" s="40">
        <v>59418841</v>
      </c>
      <c r="V93" s="40">
        <v>29521118</v>
      </c>
      <c r="W93" s="40">
        <v>14748097</v>
      </c>
      <c r="X93" s="40">
        <v>8374885</v>
      </c>
      <c r="Y93" s="40">
        <v>8328679</v>
      </c>
      <c r="Z93" s="40">
        <v>7114688</v>
      </c>
      <c r="AA93" s="20"/>
      <c r="AB93" s="20"/>
      <c r="AC93" s="40">
        <v>612210059</v>
      </c>
      <c r="AD93" s="40">
        <v>267912958</v>
      </c>
      <c r="AE93" s="40">
        <v>138717886</v>
      </c>
      <c r="AF93" s="40">
        <v>76038280</v>
      </c>
      <c r="AG93" s="40">
        <v>77651276</v>
      </c>
      <c r="AH93" s="42">
        <v>75380686</v>
      </c>
      <c r="AI93" s="21"/>
    </row>
    <row r="94" spans="2:35">
      <c r="B94" s="29"/>
      <c r="C94" s="23"/>
      <c r="D94" s="41" t="s">
        <v>28</v>
      </c>
      <c r="E94" s="40">
        <v>428045</v>
      </c>
      <c r="F94" s="40">
        <v>224433</v>
      </c>
      <c r="G94" s="40">
        <v>113991</v>
      </c>
      <c r="H94" s="40">
        <v>59442</v>
      </c>
      <c r="I94" s="40">
        <v>79451</v>
      </c>
      <c r="J94" s="40">
        <v>53490</v>
      </c>
      <c r="K94" s="20"/>
      <c r="L94" s="20"/>
      <c r="M94" s="40">
        <v>4275555</v>
      </c>
      <c r="N94" s="40">
        <v>2262090</v>
      </c>
      <c r="O94" s="40">
        <v>1138890</v>
      </c>
      <c r="P94" s="40">
        <v>645827</v>
      </c>
      <c r="Q94" s="40">
        <v>693464</v>
      </c>
      <c r="R94" s="40">
        <v>709535</v>
      </c>
      <c r="S94" s="20"/>
      <c r="T94" s="20"/>
      <c r="U94" s="40">
        <v>61146563</v>
      </c>
      <c r="V94" s="40">
        <v>30719519</v>
      </c>
      <c r="W94" s="40">
        <v>14755740</v>
      </c>
      <c r="X94" s="40">
        <v>8388613</v>
      </c>
      <c r="Y94" s="40">
        <v>8310303</v>
      </c>
      <c r="Z94" s="40">
        <v>7157531</v>
      </c>
      <c r="AA94" s="20"/>
      <c r="AB94" s="20"/>
      <c r="AC94" s="40">
        <v>604817799</v>
      </c>
      <c r="AD94" s="40">
        <v>271706601</v>
      </c>
      <c r="AE94" s="40">
        <v>135711592</v>
      </c>
      <c r="AF94" s="40">
        <v>75926307</v>
      </c>
      <c r="AG94" s="40">
        <v>76659569</v>
      </c>
      <c r="AH94" s="42">
        <v>75953704</v>
      </c>
      <c r="AI94" s="21"/>
    </row>
    <row r="95" spans="2:35">
      <c r="B95" s="29"/>
      <c r="C95" s="23"/>
      <c r="D95" s="41" t="s">
        <v>29</v>
      </c>
      <c r="E95" s="40">
        <v>425731</v>
      </c>
      <c r="F95" s="40">
        <v>222844</v>
      </c>
      <c r="G95" s="40">
        <v>114747</v>
      </c>
      <c r="H95" s="40">
        <v>60038</v>
      </c>
      <c r="I95" s="40">
        <v>80448</v>
      </c>
      <c r="J95" s="40">
        <v>54041</v>
      </c>
      <c r="K95" s="20"/>
      <c r="L95" s="20"/>
      <c r="M95" s="40">
        <v>4447324</v>
      </c>
      <c r="N95" s="40">
        <v>2275784</v>
      </c>
      <c r="O95" s="40">
        <v>1138972</v>
      </c>
      <c r="P95" s="40">
        <v>658003</v>
      </c>
      <c r="Q95" s="40">
        <v>701688</v>
      </c>
      <c r="R95" s="40">
        <v>715544</v>
      </c>
      <c r="S95" s="20"/>
      <c r="T95" s="20"/>
      <c r="U95" s="40">
        <v>59483784</v>
      </c>
      <c r="V95" s="40">
        <v>30683219</v>
      </c>
      <c r="W95" s="40">
        <v>14859255</v>
      </c>
      <c r="X95" s="40">
        <v>8352116</v>
      </c>
      <c r="Y95" s="40">
        <v>8336085</v>
      </c>
      <c r="Z95" s="40">
        <v>7160855</v>
      </c>
      <c r="AA95" s="20"/>
      <c r="AB95" s="20"/>
      <c r="AC95" s="40">
        <v>609800086</v>
      </c>
      <c r="AD95" s="40">
        <v>287970685</v>
      </c>
      <c r="AE95" s="40">
        <v>135778121</v>
      </c>
      <c r="AF95" s="40">
        <v>80664918</v>
      </c>
      <c r="AG95" s="40">
        <v>77584621</v>
      </c>
      <c r="AH95" s="42">
        <v>76270826</v>
      </c>
      <c r="AI95" s="21"/>
    </row>
    <row r="96" spans="2:35">
      <c r="B96" s="29"/>
      <c r="C96" s="23"/>
      <c r="D96" s="41" t="s">
        <v>30</v>
      </c>
      <c r="E96" s="40">
        <v>428002</v>
      </c>
      <c r="F96" s="40">
        <v>225079</v>
      </c>
      <c r="G96" s="40">
        <v>116213</v>
      </c>
      <c r="H96" s="40">
        <v>59300</v>
      </c>
      <c r="I96" s="40">
        <v>79430</v>
      </c>
      <c r="J96" s="40">
        <v>53256</v>
      </c>
      <c r="K96" s="20"/>
      <c r="L96" s="20"/>
      <c r="M96" s="40">
        <v>4528370</v>
      </c>
      <c r="N96" s="40">
        <v>2260961</v>
      </c>
      <c r="O96" s="40">
        <v>1151276</v>
      </c>
      <c r="P96" s="40">
        <v>651805</v>
      </c>
      <c r="Q96" s="40">
        <v>704905</v>
      </c>
      <c r="R96" s="40">
        <v>691532</v>
      </c>
      <c r="S96" s="20"/>
      <c r="T96" s="20"/>
      <c r="U96" s="40">
        <v>59608969</v>
      </c>
      <c r="V96" s="40">
        <v>30676858</v>
      </c>
      <c r="W96" s="40">
        <v>14771096</v>
      </c>
      <c r="X96" s="40">
        <v>8381741</v>
      </c>
      <c r="Y96" s="40">
        <v>8286218</v>
      </c>
      <c r="Z96" s="40">
        <v>7088531</v>
      </c>
      <c r="AA96" s="20"/>
      <c r="AB96" s="20"/>
      <c r="AC96" s="40">
        <v>612653716</v>
      </c>
      <c r="AD96" s="40">
        <v>260880480</v>
      </c>
      <c r="AE96" s="40">
        <v>135566196</v>
      </c>
      <c r="AF96" s="40">
        <v>81376399</v>
      </c>
      <c r="AG96" s="40">
        <v>77736577</v>
      </c>
      <c r="AH96" s="42">
        <v>75404598</v>
      </c>
      <c r="AI96" s="21"/>
    </row>
    <row r="97" spans="2:35">
      <c r="B97" s="29"/>
      <c r="C97" s="23"/>
      <c r="D97" s="41" t="s">
        <v>31</v>
      </c>
      <c r="E97" s="40">
        <v>431518</v>
      </c>
      <c r="F97" s="40">
        <v>224691</v>
      </c>
      <c r="G97" s="40">
        <v>115484</v>
      </c>
      <c r="H97" s="40">
        <v>60010</v>
      </c>
      <c r="I97" s="40">
        <v>78947</v>
      </c>
      <c r="J97" s="40">
        <v>54787</v>
      </c>
      <c r="K97" s="20"/>
      <c r="L97" s="20"/>
      <c r="M97" s="40">
        <v>4363552</v>
      </c>
      <c r="N97" s="40">
        <v>2312877</v>
      </c>
      <c r="O97" s="40">
        <v>1126863</v>
      </c>
      <c r="P97" s="40">
        <v>653270</v>
      </c>
      <c r="Q97" s="40">
        <v>687362</v>
      </c>
      <c r="R97" s="40">
        <v>707338</v>
      </c>
      <c r="S97" s="20"/>
      <c r="T97" s="20"/>
      <c r="U97" s="40">
        <v>61192171</v>
      </c>
      <c r="V97" s="40">
        <v>29353870</v>
      </c>
      <c r="W97" s="40">
        <v>14773060</v>
      </c>
      <c r="X97" s="40">
        <v>8390071</v>
      </c>
      <c r="Y97" s="40">
        <v>8273186</v>
      </c>
      <c r="Z97" s="40">
        <v>7107998</v>
      </c>
      <c r="AA97" s="20"/>
      <c r="AB97" s="20"/>
      <c r="AC97" s="40">
        <v>582516086</v>
      </c>
      <c r="AD97" s="40">
        <v>278389901</v>
      </c>
      <c r="AE97" s="40">
        <v>135928051</v>
      </c>
      <c r="AF97" s="40">
        <v>81060238</v>
      </c>
      <c r="AG97" s="40">
        <v>75732515</v>
      </c>
      <c r="AH97" s="42">
        <v>77232699</v>
      </c>
      <c r="AI97" s="21"/>
    </row>
    <row r="98" spans="2:35">
      <c r="B98" s="29"/>
      <c r="C98" s="23"/>
      <c r="D98" s="41" t="s">
        <v>32</v>
      </c>
      <c r="E98" s="40">
        <v>433772</v>
      </c>
      <c r="F98" s="40">
        <v>224193</v>
      </c>
      <c r="G98" s="40">
        <v>114554</v>
      </c>
      <c r="H98" s="40">
        <v>59419</v>
      </c>
      <c r="I98" s="40">
        <v>79214</v>
      </c>
      <c r="J98" s="40">
        <v>61851</v>
      </c>
      <c r="K98" s="20"/>
      <c r="L98" s="20"/>
      <c r="M98" s="40">
        <v>4379641</v>
      </c>
      <c r="N98" s="40">
        <v>2261156</v>
      </c>
      <c r="O98" s="40">
        <v>1132905</v>
      </c>
      <c r="P98" s="40">
        <v>647109</v>
      </c>
      <c r="Q98" s="40">
        <v>692361</v>
      </c>
      <c r="R98" s="40">
        <v>707279</v>
      </c>
      <c r="S98" s="20"/>
      <c r="T98" s="20"/>
      <c r="U98" s="40">
        <v>59535713</v>
      </c>
      <c r="V98" s="40">
        <v>29501974</v>
      </c>
      <c r="W98" s="40">
        <v>14794500</v>
      </c>
      <c r="X98" s="40">
        <v>8537542</v>
      </c>
      <c r="Y98" s="40">
        <v>8301010</v>
      </c>
      <c r="Z98" s="40">
        <v>7093998</v>
      </c>
      <c r="AA98" s="20"/>
      <c r="AB98" s="20"/>
      <c r="AC98" s="40">
        <v>603771747</v>
      </c>
      <c r="AD98" s="40">
        <v>268594573</v>
      </c>
      <c r="AE98" s="40">
        <v>136775882</v>
      </c>
      <c r="AF98" s="40">
        <v>79631445</v>
      </c>
      <c r="AG98" s="40">
        <v>77119728</v>
      </c>
      <c r="AH98" s="42">
        <v>76699381</v>
      </c>
      <c r="AI98" s="21"/>
    </row>
    <row r="99" spans="2:35">
      <c r="B99" s="29"/>
      <c r="C99" s="23"/>
      <c r="D99" s="41" t="s">
        <v>33</v>
      </c>
      <c r="E99" s="40">
        <v>430684</v>
      </c>
      <c r="F99" s="40">
        <v>224476</v>
      </c>
      <c r="G99" s="40">
        <v>114977</v>
      </c>
      <c r="H99" s="40">
        <v>59500</v>
      </c>
      <c r="I99" s="40">
        <v>77926</v>
      </c>
      <c r="J99" s="40">
        <v>55049</v>
      </c>
      <c r="K99" s="20"/>
      <c r="L99" s="20"/>
      <c r="M99" s="40">
        <v>4374127</v>
      </c>
      <c r="N99" s="40">
        <v>2246731</v>
      </c>
      <c r="O99" s="40">
        <v>1155105</v>
      </c>
      <c r="P99" s="40">
        <v>661883</v>
      </c>
      <c r="Q99" s="40">
        <v>704630</v>
      </c>
      <c r="R99" s="40">
        <v>680956</v>
      </c>
      <c r="S99" s="20"/>
      <c r="T99" s="20"/>
      <c r="U99" s="40">
        <v>59634194</v>
      </c>
      <c r="V99" s="40">
        <v>30673024</v>
      </c>
      <c r="W99" s="40">
        <v>14734949</v>
      </c>
      <c r="X99" s="40">
        <v>8400948</v>
      </c>
      <c r="Y99" s="40">
        <v>8272640</v>
      </c>
      <c r="Z99" s="40">
        <v>7191607</v>
      </c>
      <c r="AA99" s="20"/>
      <c r="AB99" s="20"/>
      <c r="AC99" s="40">
        <v>603484629</v>
      </c>
      <c r="AD99" s="40">
        <v>261726218</v>
      </c>
      <c r="AE99" s="40">
        <v>136433358</v>
      </c>
      <c r="AF99" s="40">
        <v>79151932</v>
      </c>
      <c r="AG99" s="40">
        <v>77149411</v>
      </c>
      <c r="AH99" s="42">
        <v>75991501</v>
      </c>
      <c r="AI99" s="21"/>
    </row>
    <row r="100" spans="2:35">
      <c r="B100" s="29"/>
      <c r="C100" s="23"/>
      <c r="D100" s="41" t="s">
        <v>34</v>
      </c>
      <c r="E100" s="40">
        <v>426676</v>
      </c>
      <c r="F100" s="40">
        <v>223601</v>
      </c>
      <c r="G100" s="40">
        <v>114591</v>
      </c>
      <c r="H100" s="40">
        <v>59409</v>
      </c>
      <c r="I100" s="40">
        <v>79780</v>
      </c>
      <c r="J100" s="40">
        <v>54700</v>
      </c>
      <c r="K100" s="20"/>
      <c r="L100" s="20"/>
      <c r="M100" s="40">
        <v>4268832</v>
      </c>
      <c r="N100" s="40">
        <v>2196943</v>
      </c>
      <c r="O100" s="40">
        <v>1155699</v>
      </c>
      <c r="P100" s="40">
        <v>651013</v>
      </c>
      <c r="Q100" s="40">
        <v>698050</v>
      </c>
      <c r="R100" s="40">
        <v>717482</v>
      </c>
      <c r="S100" s="20"/>
      <c r="T100" s="20"/>
      <c r="U100" s="40">
        <v>59408841</v>
      </c>
      <c r="V100" s="40">
        <v>29383068</v>
      </c>
      <c r="W100" s="40">
        <v>14816314</v>
      </c>
      <c r="X100" s="40">
        <v>8381667</v>
      </c>
      <c r="Y100" s="40">
        <v>8278596</v>
      </c>
      <c r="Z100" s="40">
        <v>7152429</v>
      </c>
      <c r="AA100" s="20"/>
      <c r="AB100" s="20"/>
      <c r="AC100" s="40">
        <v>602407375</v>
      </c>
      <c r="AD100" s="40">
        <v>278294341</v>
      </c>
      <c r="AE100" s="40">
        <v>131884949</v>
      </c>
      <c r="AF100" s="40">
        <v>79456753</v>
      </c>
      <c r="AG100" s="40">
        <v>79931297</v>
      </c>
      <c r="AH100" s="42">
        <v>74828320</v>
      </c>
      <c r="AI100" s="21"/>
    </row>
    <row r="101" spans="2:35">
      <c r="B101" s="29"/>
      <c r="C101" s="23"/>
      <c r="D101" s="41" t="s">
        <v>35</v>
      </c>
      <c r="E101" s="40">
        <v>434606</v>
      </c>
      <c r="F101" s="40">
        <v>225626</v>
      </c>
      <c r="G101" s="40">
        <v>115024</v>
      </c>
      <c r="H101" s="40">
        <v>60067</v>
      </c>
      <c r="I101" s="40">
        <v>77942</v>
      </c>
      <c r="J101" s="40">
        <v>52741</v>
      </c>
      <c r="K101" s="20"/>
      <c r="L101" s="20"/>
      <c r="M101" s="40">
        <v>4439932</v>
      </c>
      <c r="N101" s="40">
        <v>2205529</v>
      </c>
      <c r="O101" s="40">
        <v>1152336</v>
      </c>
      <c r="P101" s="40">
        <v>648019</v>
      </c>
      <c r="Q101" s="40">
        <v>711962</v>
      </c>
      <c r="R101" s="40">
        <v>690682</v>
      </c>
      <c r="S101" s="20"/>
      <c r="T101" s="20"/>
      <c r="U101" s="40">
        <v>59517207</v>
      </c>
      <c r="V101" s="40">
        <v>29365942</v>
      </c>
      <c r="W101" s="40">
        <v>14798992</v>
      </c>
      <c r="X101" s="40">
        <v>8427466</v>
      </c>
      <c r="Y101" s="40">
        <v>8285207</v>
      </c>
      <c r="Z101" s="40">
        <v>7085173</v>
      </c>
      <c r="AA101" s="20"/>
      <c r="AB101" s="20"/>
      <c r="AC101" s="40">
        <v>605945508</v>
      </c>
      <c r="AD101" s="40">
        <v>271921576</v>
      </c>
      <c r="AE101" s="40">
        <v>138716735</v>
      </c>
      <c r="AF101" s="40">
        <v>81935594</v>
      </c>
      <c r="AG101" s="40">
        <v>77924495</v>
      </c>
      <c r="AH101" s="42">
        <v>75432530</v>
      </c>
      <c r="AI101" s="21"/>
    </row>
    <row r="102" spans="2:35">
      <c r="B102" s="29"/>
      <c r="C102" s="23"/>
      <c r="D102" s="41" t="s">
        <v>36</v>
      </c>
      <c r="E102" s="40">
        <v>424875</v>
      </c>
      <c r="F102" s="40">
        <v>224928</v>
      </c>
      <c r="G102" s="40">
        <v>114879</v>
      </c>
      <c r="H102" s="40">
        <v>59915</v>
      </c>
      <c r="I102" s="40">
        <v>80219</v>
      </c>
      <c r="J102" s="40">
        <v>53238</v>
      </c>
      <c r="K102" s="20"/>
      <c r="L102" s="20"/>
      <c r="M102" s="40">
        <v>4529191</v>
      </c>
      <c r="N102" s="40">
        <v>2260664</v>
      </c>
      <c r="O102" s="40">
        <v>1158704</v>
      </c>
      <c r="P102" s="40">
        <v>657813</v>
      </c>
      <c r="Q102" s="40">
        <v>707823</v>
      </c>
      <c r="R102" s="40">
        <v>700879</v>
      </c>
      <c r="S102" s="20"/>
      <c r="T102" s="20"/>
      <c r="U102" s="40">
        <v>61049830</v>
      </c>
      <c r="V102" s="40">
        <v>29445000</v>
      </c>
      <c r="W102" s="40">
        <v>14820233</v>
      </c>
      <c r="X102" s="40">
        <v>8385770</v>
      </c>
      <c r="Y102" s="40">
        <v>8327605</v>
      </c>
      <c r="Z102" s="40">
        <v>7156996</v>
      </c>
      <c r="AA102" s="20"/>
      <c r="AB102" s="20"/>
      <c r="AC102" s="40">
        <v>601287100</v>
      </c>
      <c r="AD102" s="40">
        <v>270718303</v>
      </c>
      <c r="AE102" s="40">
        <v>136579032</v>
      </c>
      <c r="AF102" s="40">
        <v>75308330</v>
      </c>
      <c r="AG102" s="40">
        <v>76430382</v>
      </c>
      <c r="AH102" s="42">
        <v>77118591</v>
      </c>
      <c r="AI102" s="21"/>
    </row>
    <row r="103" spans="2:35">
      <c r="B103" s="29"/>
      <c r="C103" s="23"/>
      <c r="D103" s="41" t="s">
        <v>37</v>
      </c>
      <c r="E103" s="40">
        <v>430266</v>
      </c>
      <c r="F103" s="40">
        <v>224613</v>
      </c>
      <c r="G103" s="40">
        <v>113720</v>
      </c>
      <c r="H103" s="40">
        <v>59692</v>
      </c>
      <c r="I103" s="40">
        <v>79462</v>
      </c>
      <c r="J103" s="40">
        <v>75707</v>
      </c>
      <c r="K103" s="20"/>
      <c r="L103" s="20"/>
      <c r="M103" s="40">
        <v>4310917</v>
      </c>
      <c r="N103" s="40">
        <v>2248880</v>
      </c>
      <c r="O103" s="40">
        <v>1141742</v>
      </c>
      <c r="P103" s="40">
        <v>660640</v>
      </c>
      <c r="Q103" s="40">
        <v>716469</v>
      </c>
      <c r="R103" s="40">
        <v>720694</v>
      </c>
      <c r="S103" s="20"/>
      <c r="T103" s="20"/>
      <c r="U103" s="40">
        <v>61114287</v>
      </c>
      <c r="V103" s="40">
        <v>29759526</v>
      </c>
      <c r="W103" s="40">
        <v>14722709</v>
      </c>
      <c r="X103" s="40">
        <v>8380617</v>
      </c>
      <c r="Y103" s="40">
        <v>8291937</v>
      </c>
      <c r="Z103" s="40">
        <v>7130074</v>
      </c>
      <c r="AA103" s="20"/>
      <c r="AB103" s="20"/>
      <c r="AC103" s="40">
        <v>603756166</v>
      </c>
      <c r="AD103" s="40">
        <v>290020451</v>
      </c>
      <c r="AE103" s="40">
        <v>130748480</v>
      </c>
      <c r="AF103" s="40">
        <v>75133237</v>
      </c>
      <c r="AG103" s="40">
        <v>76692671</v>
      </c>
      <c r="AH103" s="42">
        <v>75914101</v>
      </c>
      <c r="AI103" s="21"/>
    </row>
    <row r="104" spans="2:35">
      <c r="B104" s="29"/>
      <c r="C104" s="23"/>
      <c r="D104" s="41" t="s">
        <v>38</v>
      </c>
      <c r="E104" s="40">
        <v>427239</v>
      </c>
      <c r="F104" s="40">
        <v>222926</v>
      </c>
      <c r="G104" s="40">
        <v>115715</v>
      </c>
      <c r="H104" s="40">
        <v>59546</v>
      </c>
      <c r="I104" s="40">
        <v>79367</v>
      </c>
      <c r="J104" s="40">
        <v>61512</v>
      </c>
      <c r="K104" s="20"/>
      <c r="L104" s="20"/>
      <c r="M104" s="40">
        <v>4400545</v>
      </c>
      <c r="N104" s="40">
        <v>2263737</v>
      </c>
      <c r="O104" s="40">
        <v>1153215</v>
      </c>
      <c r="P104" s="40">
        <v>646067</v>
      </c>
      <c r="Q104" s="40">
        <v>717411</v>
      </c>
      <c r="R104" s="40">
        <v>707118</v>
      </c>
      <c r="S104" s="20"/>
      <c r="T104" s="20"/>
      <c r="U104" s="40">
        <v>61117774</v>
      </c>
      <c r="V104" s="40">
        <v>29225329</v>
      </c>
      <c r="W104" s="40">
        <v>14779378</v>
      </c>
      <c r="X104" s="40">
        <v>8389111</v>
      </c>
      <c r="Y104" s="40">
        <v>8229475</v>
      </c>
      <c r="Z104" s="40">
        <v>7117645</v>
      </c>
      <c r="AA104" s="20"/>
      <c r="AB104" s="20"/>
      <c r="AC104" s="40">
        <v>602449193</v>
      </c>
      <c r="AD104" s="40">
        <v>269309572</v>
      </c>
      <c r="AE104" s="40">
        <v>135357835</v>
      </c>
      <c r="AF104" s="40">
        <v>75966407</v>
      </c>
      <c r="AG104" s="40">
        <v>76252369</v>
      </c>
      <c r="AH104" s="42">
        <v>75829628</v>
      </c>
      <c r="AI104" s="21"/>
    </row>
    <row r="105" spans="2:35">
      <c r="B105" s="29"/>
      <c r="C105" s="23"/>
      <c r="D105" s="41" t="s">
        <v>39</v>
      </c>
      <c r="E105" s="40">
        <v>432438</v>
      </c>
      <c r="F105" s="40">
        <v>224956</v>
      </c>
      <c r="G105" s="40">
        <v>115682</v>
      </c>
      <c r="H105" s="40">
        <v>59433</v>
      </c>
      <c r="I105" s="40">
        <v>80205</v>
      </c>
      <c r="J105" s="40">
        <v>55917</v>
      </c>
      <c r="K105" s="20"/>
      <c r="L105" s="20"/>
      <c r="M105" s="40">
        <v>4251342</v>
      </c>
      <c r="N105" s="40">
        <v>2273087</v>
      </c>
      <c r="O105" s="40">
        <v>1156688</v>
      </c>
      <c r="P105" s="40">
        <v>665890</v>
      </c>
      <c r="Q105" s="40">
        <v>713523</v>
      </c>
      <c r="R105" s="40">
        <v>705021</v>
      </c>
      <c r="S105" s="20"/>
      <c r="T105" s="20"/>
      <c r="U105" s="40">
        <v>61028693</v>
      </c>
      <c r="V105" s="40">
        <v>29317713</v>
      </c>
      <c r="W105" s="40">
        <v>14786262</v>
      </c>
      <c r="X105" s="40">
        <v>8373396</v>
      </c>
      <c r="Y105" s="40">
        <v>8370227</v>
      </c>
      <c r="Z105" s="40">
        <v>7140042</v>
      </c>
      <c r="AA105" s="20"/>
      <c r="AB105" s="20"/>
      <c r="AC105" s="40">
        <v>598903526</v>
      </c>
      <c r="AD105" s="40">
        <v>268639933</v>
      </c>
      <c r="AE105" s="40">
        <v>135672808</v>
      </c>
      <c r="AF105" s="40">
        <v>80049752</v>
      </c>
      <c r="AG105" s="40">
        <v>77051758</v>
      </c>
      <c r="AH105" s="42">
        <v>77142346</v>
      </c>
      <c r="AI105" s="21"/>
    </row>
    <row r="106" spans="2:35">
      <c r="B106" s="29"/>
      <c r="C106" s="23"/>
      <c r="D106" s="41" t="s">
        <v>40</v>
      </c>
      <c r="E106" s="40">
        <v>428724</v>
      </c>
      <c r="F106" s="40">
        <v>225890</v>
      </c>
      <c r="G106" s="40">
        <v>114541</v>
      </c>
      <c r="H106" s="40">
        <v>59438</v>
      </c>
      <c r="I106" s="40">
        <v>80022</v>
      </c>
      <c r="J106" s="40">
        <v>53621</v>
      </c>
      <c r="K106" s="20"/>
      <c r="L106" s="20"/>
      <c r="M106" s="40">
        <v>4253608</v>
      </c>
      <c r="N106" s="40">
        <v>2266938</v>
      </c>
      <c r="O106" s="40">
        <v>1126102</v>
      </c>
      <c r="P106" s="40">
        <v>658960</v>
      </c>
      <c r="Q106" s="40">
        <v>713089</v>
      </c>
      <c r="R106" s="40">
        <v>704226</v>
      </c>
      <c r="S106" s="20"/>
      <c r="T106" s="20"/>
      <c r="U106" s="40">
        <v>61159617</v>
      </c>
      <c r="V106" s="40">
        <v>29501279</v>
      </c>
      <c r="W106" s="40">
        <v>14949308</v>
      </c>
      <c r="X106" s="40">
        <v>8396757</v>
      </c>
      <c r="Y106" s="40">
        <v>8287947</v>
      </c>
      <c r="Z106" s="40">
        <v>7242279</v>
      </c>
      <c r="AA106" s="20"/>
      <c r="AB106" s="20"/>
      <c r="AC106" s="40">
        <v>583960120</v>
      </c>
      <c r="AD106" s="40">
        <v>269415283</v>
      </c>
      <c r="AE106" s="40">
        <v>135836554</v>
      </c>
      <c r="AF106" s="40">
        <v>79857925</v>
      </c>
      <c r="AG106" s="40">
        <v>75825884</v>
      </c>
      <c r="AH106" s="42">
        <v>75414850</v>
      </c>
      <c r="AI106" s="21"/>
    </row>
    <row r="107" spans="2:35" ht="15.95" thickBot="1">
      <c r="B107" s="29"/>
      <c r="C107" s="24"/>
      <c r="D107" s="36" t="s">
        <v>41</v>
      </c>
      <c r="E107" s="25" cm="1">
        <f t="array" ref="E107">ROUND(AVERAGE(IF((ISNUMBER(E77:E106))*(E77:E106&lt;LARGE(E77:E106,2))*(E77:E106&gt;SMALL(E77:E106,2)),E77:E106)),0)</f>
        <v>428584</v>
      </c>
      <c r="F107" s="25" cm="1">
        <f t="array" ref="F107">ROUND(AVERAGE(IF((ISNUMBER(F77:F106))*(F77:F106&lt;LARGE(F77:F106,2))*(F77:F106&gt;SMALL(F77:F106,2)),F77:F106)),0)</f>
        <v>224443</v>
      </c>
      <c r="G107" s="25" cm="1">
        <f t="array" ref="G107">ROUND(AVERAGE(IF((ISNUMBER(G77:G106))*(G77:G106&lt;LARGE(G77:G106,2))*(G77:G106&gt;SMALL(G77:G106,2)),G77:G106)),0)</f>
        <v>114706</v>
      </c>
      <c r="H107" s="25" cm="1">
        <f t="array" ref="H107">ROUND(AVERAGE(IF((ISNUMBER(H77:H106))*(H77:H106&lt;LARGE(H77:H106,2))*(H77:H106&gt;SMALL(H77:H106,2)),H77:H106)),0)</f>
        <v>59643</v>
      </c>
      <c r="I107" s="25" cm="1">
        <f t="array" ref="I107">ROUND(AVERAGE(IF((ISNUMBER(I77:I106))*(I77:I106&lt;LARGE(I77:I106,2))*(I77:I106&gt;SMALL(I77:I106,2)),I77:I106)),0)</f>
        <v>79331</v>
      </c>
      <c r="J107" s="25" cm="1">
        <f t="array" ref="J107">ROUND(AVERAGE(IF((ISNUMBER(J77:J106))*(J77:J106&lt;LARGE(J77:J106,2))*(J77:J106&gt;SMALL(J77:J106,2)),J77:J106)),0)</f>
        <v>54930</v>
      </c>
      <c r="K107" s="25"/>
      <c r="L107" s="25"/>
      <c r="M107" s="25" cm="1">
        <f t="array" ref="M107">ROUND(AVERAGE(IF((ISNUMBER(M77:M106))*(M77:M106&lt;LARGE(M77:M106,2))*(M77:M106&gt;SMALL(M77:M106,2)),M77:M106)),0)</f>
        <v>4360396</v>
      </c>
      <c r="N107" s="25" cm="1">
        <f t="array" ref="N107">ROUND(AVERAGE(IF((ISNUMBER(N77:N106))*(N77:N106&lt;LARGE(N77:N106,2))*(N77:N106&gt;SMALL(N77:N106,2)),N77:N106)),0)</f>
        <v>2261759</v>
      </c>
      <c r="O107" s="25" cm="1">
        <f t="array" ref="O107">ROUND(AVERAGE(IF((ISNUMBER(O77:O106))*(O77:O106&lt;LARGE(O77:O106,2))*(O77:O106&gt;SMALL(O77:O106,2)),O77:O106)),0)</f>
        <v>1145754</v>
      </c>
      <c r="P107" s="25" cm="1">
        <f t="array" ref="P107">ROUND(AVERAGE(IF((ISNUMBER(P77:P106))*(P77:P106&lt;LARGE(P77:P106,2))*(P77:P106&gt;SMALL(P77:P106,2)),P77:P106)),0)</f>
        <v>652042</v>
      </c>
      <c r="Q107" s="25" cm="1">
        <f t="array" ref="Q107">ROUND(AVERAGE(IF((ISNUMBER(Q77:Q106))*(Q77:Q106&lt;LARGE(Q77:Q106,2))*(Q77:Q106&gt;SMALL(Q77:Q106,2)),Q77:Q106)),0)</f>
        <v>706104</v>
      </c>
      <c r="R107" s="25" cm="1">
        <f t="array" ref="R107">ROUND(AVERAGE(IF((ISNUMBER(R77:R106))*(R77:R106&lt;LARGE(R77:R106,2))*(R77:R106&gt;SMALL(R77:R106,2)),R77:R106)),0)</f>
        <v>704685</v>
      </c>
      <c r="S107" s="25"/>
      <c r="T107" s="25"/>
      <c r="U107" s="25" cm="1">
        <f t="array" ref="U107">ROUND(AVERAGE(IF((ISNUMBER(U77:U106))*(U77:U106&lt;LARGE(U77:U106,2))*(U77:U106&gt;SMALL(U77:U106,2)),U77:U106)),0)</f>
        <v>60263329</v>
      </c>
      <c r="V107" s="25" cm="1">
        <f t="array" ref="V107">ROUND(AVERAGE(IF((ISNUMBER(V77:V106))*(V77:V106&lt;LARGE(V77:V106,2))*(V77:V106&gt;SMALL(V77:V106,2)),V77:V106)),0)</f>
        <v>30222870</v>
      </c>
      <c r="W107" s="25" cm="1">
        <f t="array" ref="W107">ROUND(AVERAGE(IF((ISNUMBER(W77:W106))*(W77:W106&lt;LARGE(W77:W106,2))*(W77:W106&gt;SMALL(W77:W106,2)),W77:W106)),0)</f>
        <v>14773982</v>
      </c>
      <c r="X107" s="25" cm="1">
        <f t="array" ref="X107">ROUND(AVERAGE(IF((ISNUMBER(X77:X106))*(X77:X106&lt;LARGE(X77:X106,2))*(X77:X106&gt;SMALL(X77:X106,2)),X77:X106)),0)</f>
        <v>8397767</v>
      </c>
      <c r="Y107" s="25" cm="1">
        <f t="array" ref="Y107">ROUND(AVERAGE(IF((ISNUMBER(Y77:Y106))*(Y77:Y106&lt;LARGE(Y77:Y106,2))*(Y77:Y106&gt;SMALL(Y77:Y106,2)),Y77:Y106)),0)</f>
        <v>8328763</v>
      </c>
      <c r="Z107" s="25" cm="1">
        <f t="array" ref="Z107">ROUND(AVERAGE(IF((ISNUMBER(Z77:Z106))*(Z77:Z106&lt;LARGE(Z77:Z106,2))*(Z77:Z106&gt;SMALL(Z77:Z106,2)),Z77:Z106)),0)</f>
        <v>7140335</v>
      </c>
      <c r="AA107" s="25"/>
      <c r="AB107" s="25"/>
      <c r="AC107" s="25" cm="1">
        <f t="array" ref="AC107">ROUND(AVERAGE(IF((ISNUMBER(AC77:AC106))*(AC77:AC106&lt;LARGE(AC77:AC106,2))*(AC77:AC106&gt;SMALL(AC77:AC106,2)),AC77:AC106)),0)</f>
        <v>606742750</v>
      </c>
      <c r="AD107" s="25" cm="1">
        <f t="array" ref="AD107">ROUND(AVERAGE(IF((ISNUMBER(AD77:AD106))*(AD77:AD106&lt;LARGE(AD77:AD106,2))*(AD77:AD106&gt;SMALL(AD77:AD106,2)),AD77:AD106)),0)</f>
        <v>270003954</v>
      </c>
      <c r="AE107" s="25" cm="1">
        <f t="array" ref="AE107">ROUND(AVERAGE(IF((ISNUMBER(AE77:AE106))*(AE77:AE106&lt;LARGE(AE77:AE106,2))*(AE77:AE106&gt;SMALL(AE77:AE106,2)),AE77:AE106)),0)</f>
        <v>135199971</v>
      </c>
      <c r="AF107" s="25" cm="1">
        <f t="array" ref="AF107">ROUND(AVERAGE(IF((ISNUMBER(AF77:AF106))*(AF77:AF106&lt;LARGE(AF77:AF106,2))*(AF77:AF106&gt;SMALL(AF77:AF106,2)),AF77:AF106)),0)</f>
        <v>78015029</v>
      </c>
      <c r="AG107" s="25" cm="1">
        <f t="array" ref="AG107">ROUND(AVERAGE(IF((ISNUMBER(AG77:AG106))*(AG77:AG106&lt;LARGE(AG77:AG106,2))*(AG77:AG106&gt;SMALL(AG77:AG106,2)),AG77:AG106)),0)</f>
        <v>77427123</v>
      </c>
      <c r="AH107" s="25" cm="1">
        <f t="array" ref="AH107">ROUND(AVERAGE(IF((ISNUMBER(AH77:AH106))*(AH77:AH106&lt;LARGE(AH77:AH106,2))*(AH77:AH106&gt;SMALL(AH77:AH106,2)),AH77:AH106)),0)</f>
        <v>75979769</v>
      </c>
      <c r="AI107" s="21"/>
    </row>
    <row r="108" spans="2:35" ht="15.95" thickBot="1">
      <c r="B108" s="30"/>
      <c r="C108" s="27"/>
      <c r="D108" s="3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8"/>
    </row>
    <row r="109" spans="2:35" ht="15.95" thickBot="1">
      <c r="B109" s="31"/>
      <c r="D109" s="1"/>
    </row>
    <row r="110" spans="2:35" ht="36.950000000000003">
      <c r="B110" s="32" t="s">
        <v>44</v>
      </c>
      <c r="C110" s="15"/>
      <c r="D110" s="38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7"/>
    </row>
    <row r="111" spans="2:35" ht="15.95" thickBot="1">
      <c r="B111" s="18"/>
      <c r="C111" s="19"/>
      <c r="D111" s="39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1"/>
    </row>
    <row r="112" spans="2:35">
      <c r="B112" s="22"/>
      <c r="C112" s="43" t="s">
        <v>1</v>
      </c>
      <c r="D112" s="34"/>
      <c r="E112" s="34" t="s">
        <v>2</v>
      </c>
      <c r="F112" s="34" t="s">
        <v>3</v>
      </c>
      <c r="G112" s="34" t="s">
        <v>4</v>
      </c>
      <c r="H112" s="34" t="s">
        <v>5</v>
      </c>
      <c r="I112" s="34" t="s">
        <v>6</v>
      </c>
      <c r="J112" s="34" t="s">
        <v>7</v>
      </c>
      <c r="K112" s="45" t="s">
        <v>8</v>
      </c>
      <c r="L112" s="45"/>
      <c r="M112" s="34" t="s">
        <v>2</v>
      </c>
      <c r="N112" s="34" t="s">
        <v>3</v>
      </c>
      <c r="O112" s="34" t="s">
        <v>4</v>
      </c>
      <c r="P112" s="34" t="s">
        <v>5</v>
      </c>
      <c r="Q112" s="34" t="s">
        <v>6</v>
      </c>
      <c r="R112" s="34" t="s">
        <v>7</v>
      </c>
      <c r="S112" s="45" t="s">
        <v>9</v>
      </c>
      <c r="T112" s="45"/>
      <c r="U112" s="34" t="s">
        <v>2</v>
      </c>
      <c r="V112" s="34" t="s">
        <v>3</v>
      </c>
      <c r="W112" s="34" t="s">
        <v>4</v>
      </c>
      <c r="X112" s="34" t="s">
        <v>5</v>
      </c>
      <c r="Y112" s="34" t="s">
        <v>6</v>
      </c>
      <c r="Z112" s="34" t="s">
        <v>7</v>
      </c>
      <c r="AA112" s="45" t="s">
        <v>10</v>
      </c>
      <c r="AB112" s="45"/>
      <c r="AC112" s="34" t="s">
        <v>2</v>
      </c>
      <c r="AD112" s="34" t="s">
        <v>3</v>
      </c>
      <c r="AE112" s="34" t="s">
        <v>4</v>
      </c>
      <c r="AF112" s="34" t="s">
        <v>5</v>
      </c>
      <c r="AG112" s="34" t="s">
        <v>6</v>
      </c>
      <c r="AH112" s="35" t="s">
        <v>7</v>
      </c>
      <c r="AI112" s="21"/>
    </row>
    <row r="113" spans="2:35">
      <c r="B113" s="22"/>
      <c r="C113" s="23"/>
      <c r="D113" s="41" t="s">
        <v>11</v>
      </c>
      <c r="E113" s="40">
        <v>164449</v>
      </c>
      <c r="F113" s="40">
        <v>82923</v>
      </c>
      <c r="G113" s="40">
        <v>43608</v>
      </c>
      <c r="H113" s="40">
        <v>22511</v>
      </c>
      <c r="I113" s="40">
        <v>15824</v>
      </c>
      <c r="J113" s="40">
        <v>15809</v>
      </c>
      <c r="K113" s="20"/>
      <c r="L113" s="20"/>
      <c r="M113" s="40">
        <v>1354700</v>
      </c>
      <c r="N113" s="40">
        <v>693636</v>
      </c>
      <c r="O113" s="40">
        <v>352890</v>
      </c>
      <c r="P113" s="40">
        <v>186105</v>
      </c>
      <c r="Q113" s="40">
        <v>139715</v>
      </c>
      <c r="R113" s="40">
        <v>89760</v>
      </c>
      <c r="S113" s="20"/>
      <c r="T113" s="20"/>
      <c r="U113" s="40">
        <v>12023762</v>
      </c>
      <c r="V113" s="40">
        <v>6174007</v>
      </c>
      <c r="W113" s="40">
        <v>3139101</v>
      </c>
      <c r="X113" s="40">
        <v>1727990</v>
      </c>
      <c r="Y113" s="40">
        <v>1237297</v>
      </c>
      <c r="Z113" s="40">
        <v>1090960</v>
      </c>
      <c r="AA113" s="20"/>
      <c r="AB113" s="20"/>
      <c r="AC113" s="40">
        <v>99149854</v>
      </c>
      <c r="AD113" s="40">
        <v>51357977</v>
      </c>
      <c r="AE113" s="40">
        <v>25714152</v>
      </c>
      <c r="AF113" s="40">
        <v>14257968</v>
      </c>
      <c r="AG113" s="40">
        <v>10168019</v>
      </c>
      <c r="AH113" s="42">
        <v>18578358</v>
      </c>
      <c r="AI113" s="21"/>
    </row>
    <row r="114" spans="2:35">
      <c r="B114" s="22"/>
      <c r="C114" s="23"/>
      <c r="D114" s="41" t="s">
        <v>12</v>
      </c>
      <c r="E114" s="40">
        <v>164389</v>
      </c>
      <c r="F114" s="40">
        <v>82902</v>
      </c>
      <c r="G114" s="40">
        <v>43983</v>
      </c>
      <c r="H114" s="40">
        <v>22499</v>
      </c>
      <c r="I114" s="40">
        <v>15869</v>
      </c>
      <c r="J114" s="40">
        <v>14678</v>
      </c>
      <c r="K114" s="20"/>
      <c r="L114" s="20"/>
      <c r="M114" s="40">
        <v>1358191</v>
      </c>
      <c r="N114" s="40">
        <v>699288</v>
      </c>
      <c r="O114" s="40">
        <v>353489</v>
      </c>
      <c r="P114" s="40">
        <v>196607</v>
      </c>
      <c r="Q114" s="40">
        <v>139291</v>
      </c>
      <c r="R114" s="40">
        <v>100850</v>
      </c>
      <c r="S114" s="20"/>
      <c r="T114" s="20"/>
      <c r="U114" s="40">
        <v>12024642</v>
      </c>
      <c r="V114" s="40">
        <v>6187485</v>
      </c>
      <c r="W114" s="40">
        <v>3136189</v>
      </c>
      <c r="X114" s="40">
        <v>1726419</v>
      </c>
      <c r="Y114" s="40">
        <v>1238551</v>
      </c>
      <c r="Z114" s="40">
        <v>1083570</v>
      </c>
      <c r="AA114" s="20"/>
      <c r="AB114" s="20"/>
      <c r="AC114" s="40">
        <v>99788804</v>
      </c>
      <c r="AD114" s="40">
        <v>50741696</v>
      </c>
      <c r="AE114" s="40">
        <v>25693732</v>
      </c>
      <c r="AF114" s="40">
        <v>14337270</v>
      </c>
      <c r="AG114" s="40">
        <v>10157347</v>
      </c>
      <c r="AH114" s="42">
        <v>18622358</v>
      </c>
      <c r="AI114" s="21"/>
    </row>
    <row r="115" spans="2:35">
      <c r="B115" s="22"/>
      <c r="C115" s="23"/>
      <c r="D115" s="41" t="s">
        <v>13</v>
      </c>
      <c r="E115" s="40">
        <v>164358</v>
      </c>
      <c r="F115" s="40">
        <v>82669</v>
      </c>
      <c r="G115" s="40">
        <v>43530</v>
      </c>
      <c r="H115" s="40">
        <v>22488</v>
      </c>
      <c r="I115" s="40">
        <v>15831</v>
      </c>
      <c r="J115" s="40">
        <v>14444</v>
      </c>
      <c r="K115" s="20"/>
      <c r="L115" s="20"/>
      <c r="M115" s="40">
        <v>1358185</v>
      </c>
      <c r="N115" s="40">
        <v>690965</v>
      </c>
      <c r="O115" s="40">
        <v>353258</v>
      </c>
      <c r="P115" s="40">
        <v>196425</v>
      </c>
      <c r="Q115" s="40">
        <v>139581</v>
      </c>
      <c r="R115" s="40">
        <v>101962</v>
      </c>
      <c r="S115" s="20"/>
      <c r="T115" s="20"/>
      <c r="U115" s="40">
        <v>12025884</v>
      </c>
      <c r="V115" s="40">
        <v>6218463</v>
      </c>
      <c r="W115" s="40">
        <v>3136497</v>
      </c>
      <c r="X115" s="40">
        <v>1730097</v>
      </c>
      <c r="Y115" s="40">
        <v>1238227</v>
      </c>
      <c r="Z115" s="40">
        <v>1085267</v>
      </c>
      <c r="AA115" s="20"/>
      <c r="AB115" s="20"/>
      <c r="AC115" s="40">
        <v>99165203</v>
      </c>
      <c r="AD115" s="40">
        <v>50864711</v>
      </c>
      <c r="AE115" s="40">
        <v>25715940</v>
      </c>
      <c r="AF115" s="40">
        <v>14272409</v>
      </c>
      <c r="AG115" s="40">
        <v>10233708</v>
      </c>
      <c r="AH115" s="42">
        <v>18299420</v>
      </c>
      <c r="AI115" s="21"/>
    </row>
    <row r="116" spans="2:35">
      <c r="B116" s="22"/>
      <c r="C116" s="23"/>
      <c r="D116" s="41" t="s">
        <v>14</v>
      </c>
      <c r="E116" s="40">
        <v>164207</v>
      </c>
      <c r="F116" s="40">
        <v>83044</v>
      </c>
      <c r="G116" s="40">
        <v>43866</v>
      </c>
      <c r="H116" s="40">
        <v>22491</v>
      </c>
      <c r="I116" s="40">
        <v>15886</v>
      </c>
      <c r="J116" s="40">
        <v>14726</v>
      </c>
      <c r="K116" s="20"/>
      <c r="L116" s="20"/>
      <c r="M116" s="40">
        <v>1354858</v>
      </c>
      <c r="N116" s="40">
        <v>693682</v>
      </c>
      <c r="O116" s="40">
        <v>354459</v>
      </c>
      <c r="P116" s="40">
        <v>196620</v>
      </c>
      <c r="Q116" s="40">
        <v>139721</v>
      </c>
      <c r="R116" s="40">
        <v>101699</v>
      </c>
      <c r="S116" s="20"/>
      <c r="T116" s="20"/>
      <c r="U116" s="40">
        <v>12026318</v>
      </c>
      <c r="V116" s="40">
        <v>6186032</v>
      </c>
      <c r="W116" s="40">
        <v>3144261</v>
      </c>
      <c r="X116" s="40">
        <v>1727360</v>
      </c>
      <c r="Y116" s="40">
        <v>1242365</v>
      </c>
      <c r="Z116" s="40">
        <v>1099984</v>
      </c>
      <c r="AA116" s="20"/>
      <c r="AB116" s="20"/>
      <c r="AC116" s="40">
        <v>99807118</v>
      </c>
      <c r="AD116" s="40">
        <v>50595179</v>
      </c>
      <c r="AE116" s="40">
        <v>25764153</v>
      </c>
      <c r="AF116" s="40">
        <v>14351354</v>
      </c>
      <c r="AG116" s="40">
        <v>10193730</v>
      </c>
      <c r="AH116" s="42">
        <v>18859693</v>
      </c>
      <c r="AI116" s="21"/>
    </row>
    <row r="117" spans="2:35">
      <c r="B117" s="22"/>
      <c r="C117" s="23"/>
      <c r="D117" s="41" t="s">
        <v>15</v>
      </c>
      <c r="E117" s="40">
        <v>164233</v>
      </c>
      <c r="F117" s="40">
        <v>87626</v>
      </c>
      <c r="G117" s="40">
        <v>43450</v>
      </c>
      <c r="H117" s="40">
        <v>22485</v>
      </c>
      <c r="I117" s="40">
        <v>15882</v>
      </c>
      <c r="J117" s="40">
        <v>17960</v>
      </c>
      <c r="K117" s="20"/>
      <c r="L117" s="20"/>
      <c r="M117" s="40">
        <v>1355187</v>
      </c>
      <c r="N117" s="40">
        <v>679315</v>
      </c>
      <c r="O117" s="40">
        <v>353549</v>
      </c>
      <c r="P117" s="40">
        <v>195949</v>
      </c>
      <c r="Q117" s="40">
        <v>139113</v>
      </c>
      <c r="R117" s="40">
        <v>100064</v>
      </c>
      <c r="S117" s="20"/>
      <c r="T117" s="20"/>
      <c r="U117" s="40">
        <v>11874915</v>
      </c>
      <c r="V117" s="40">
        <v>6068049</v>
      </c>
      <c r="W117" s="40">
        <v>3137473</v>
      </c>
      <c r="X117" s="40">
        <v>1733957</v>
      </c>
      <c r="Y117" s="40">
        <v>1239201</v>
      </c>
      <c r="Z117" s="40">
        <v>1098119</v>
      </c>
      <c r="AA117" s="20"/>
      <c r="AB117" s="20"/>
      <c r="AC117" s="40">
        <v>99803980</v>
      </c>
      <c r="AD117" s="40">
        <v>49886689</v>
      </c>
      <c r="AE117" s="40">
        <v>25723728</v>
      </c>
      <c r="AF117" s="40">
        <v>14303622</v>
      </c>
      <c r="AG117" s="40">
        <v>10221595</v>
      </c>
      <c r="AH117" s="42">
        <v>18608536</v>
      </c>
      <c r="AI117" s="21"/>
    </row>
    <row r="118" spans="2:35">
      <c r="B118" s="22"/>
      <c r="C118" s="23"/>
      <c r="D118" s="41" t="s">
        <v>16</v>
      </c>
      <c r="E118" s="40">
        <v>164467</v>
      </c>
      <c r="F118" s="40">
        <v>83386</v>
      </c>
      <c r="G118" s="40">
        <v>43546</v>
      </c>
      <c r="H118" s="40">
        <v>22484</v>
      </c>
      <c r="I118" s="40">
        <v>15822</v>
      </c>
      <c r="J118" s="40">
        <v>14456</v>
      </c>
      <c r="K118" s="20"/>
      <c r="L118" s="20"/>
      <c r="M118" s="40">
        <v>1356345</v>
      </c>
      <c r="N118" s="40">
        <v>698807</v>
      </c>
      <c r="O118" s="40">
        <v>352978</v>
      </c>
      <c r="P118" s="40">
        <v>196433</v>
      </c>
      <c r="Q118" s="40">
        <v>139455</v>
      </c>
      <c r="R118" s="40">
        <v>102360</v>
      </c>
      <c r="S118" s="20"/>
      <c r="T118" s="20"/>
      <c r="U118" s="40">
        <v>12518575</v>
      </c>
      <c r="V118" s="40">
        <v>6218259</v>
      </c>
      <c r="W118" s="40">
        <v>3140291</v>
      </c>
      <c r="X118" s="40">
        <v>1731224</v>
      </c>
      <c r="Y118" s="40">
        <v>1235144</v>
      </c>
      <c r="Z118" s="40">
        <v>1050969</v>
      </c>
      <c r="AA118" s="20"/>
      <c r="AB118" s="20"/>
      <c r="AC118" s="40">
        <v>99807725</v>
      </c>
      <c r="AD118" s="40">
        <v>51173578</v>
      </c>
      <c r="AE118" s="40">
        <v>25724700</v>
      </c>
      <c r="AF118" s="40">
        <v>14324817</v>
      </c>
      <c r="AG118" s="40">
        <v>10180778</v>
      </c>
      <c r="AH118" s="42">
        <v>18336493</v>
      </c>
      <c r="AI118" s="21"/>
    </row>
    <row r="119" spans="2:35">
      <c r="B119" s="22"/>
      <c r="C119" s="23"/>
      <c r="D119" s="41" t="s">
        <v>17</v>
      </c>
      <c r="E119" s="40">
        <v>164165</v>
      </c>
      <c r="F119" s="40">
        <v>83503</v>
      </c>
      <c r="G119" s="40">
        <v>43684</v>
      </c>
      <c r="H119" s="40">
        <v>22474</v>
      </c>
      <c r="I119" s="40">
        <v>15812</v>
      </c>
      <c r="J119" s="40">
        <v>13562</v>
      </c>
      <c r="K119" s="20"/>
      <c r="L119" s="20"/>
      <c r="M119" s="40">
        <v>1357051</v>
      </c>
      <c r="N119" s="40">
        <v>698851</v>
      </c>
      <c r="O119" s="40">
        <v>353547</v>
      </c>
      <c r="P119" s="40">
        <v>196248</v>
      </c>
      <c r="Q119" s="40">
        <v>139157</v>
      </c>
      <c r="R119" s="40">
        <v>104127</v>
      </c>
      <c r="S119" s="20"/>
      <c r="T119" s="20"/>
      <c r="U119" s="40">
        <v>11875847</v>
      </c>
      <c r="V119" s="40">
        <v>6219602</v>
      </c>
      <c r="W119" s="40">
        <v>3137734</v>
      </c>
      <c r="X119" s="40">
        <v>1730433</v>
      </c>
      <c r="Y119" s="40">
        <v>1233624</v>
      </c>
      <c r="Z119" s="40">
        <v>1171367</v>
      </c>
      <c r="AA119" s="20"/>
      <c r="AB119" s="20"/>
      <c r="AC119" s="40">
        <v>99824848</v>
      </c>
      <c r="AD119" s="40">
        <v>50678406</v>
      </c>
      <c r="AE119" s="40">
        <v>25730568</v>
      </c>
      <c r="AF119" s="40">
        <v>14293661</v>
      </c>
      <c r="AG119" s="40">
        <v>10171431</v>
      </c>
      <c r="AH119" s="42">
        <v>18302926</v>
      </c>
      <c r="AI119" s="21"/>
    </row>
    <row r="120" spans="2:35">
      <c r="B120" s="22"/>
      <c r="C120" s="23"/>
      <c r="D120" s="41" t="s">
        <v>18</v>
      </c>
      <c r="E120" s="40">
        <v>164240</v>
      </c>
      <c r="F120" s="40">
        <v>84437</v>
      </c>
      <c r="G120" s="40">
        <v>44209</v>
      </c>
      <c r="H120" s="40">
        <v>22483</v>
      </c>
      <c r="I120" s="40">
        <v>15811</v>
      </c>
      <c r="J120" s="40">
        <v>14573</v>
      </c>
      <c r="K120" s="20"/>
      <c r="L120" s="20"/>
      <c r="M120" s="40">
        <v>1357800</v>
      </c>
      <c r="N120" s="40">
        <v>695181</v>
      </c>
      <c r="O120" s="40">
        <v>353839</v>
      </c>
      <c r="P120" s="40">
        <v>196681</v>
      </c>
      <c r="Q120" s="40">
        <v>139673</v>
      </c>
      <c r="R120" s="40">
        <v>102069</v>
      </c>
      <c r="S120" s="20"/>
      <c r="T120" s="20"/>
      <c r="U120" s="40">
        <v>12016193</v>
      </c>
      <c r="V120" s="40">
        <v>6217787</v>
      </c>
      <c r="W120" s="40">
        <v>3137906</v>
      </c>
      <c r="X120" s="40">
        <v>1729342</v>
      </c>
      <c r="Y120" s="40">
        <v>1238466</v>
      </c>
      <c r="Z120" s="40">
        <v>1125868</v>
      </c>
      <c r="AA120" s="20"/>
      <c r="AB120" s="20"/>
      <c r="AC120" s="40">
        <v>99860457</v>
      </c>
      <c r="AD120" s="40">
        <v>51110045</v>
      </c>
      <c r="AE120" s="40">
        <v>25725831</v>
      </c>
      <c r="AF120" s="40">
        <v>14290886</v>
      </c>
      <c r="AG120" s="40">
        <v>10196005</v>
      </c>
      <c r="AH120" s="42">
        <v>18620270</v>
      </c>
      <c r="AI120" s="21"/>
    </row>
    <row r="121" spans="2:35">
      <c r="B121" s="22"/>
      <c r="C121" s="23"/>
      <c r="D121" s="41" t="s">
        <v>19</v>
      </c>
      <c r="E121" s="40">
        <v>158732</v>
      </c>
      <c r="F121" s="40">
        <v>83630</v>
      </c>
      <c r="G121" s="40">
        <v>43842</v>
      </c>
      <c r="H121" s="40">
        <v>22611</v>
      </c>
      <c r="I121" s="40">
        <v>15798</v>
      </c>
      <c r="J121" s="40">
        <v>13819</v>
      </c>
      <c r="K121" s="20"/>
      <c r="L121" s="20"/>
      <c r="M121" s="40">
        <v>1356258</v>
      </c>
      <c r="N121" s="40">
        <v>696757</v>
      </c>
      <c r="O121" s="40">
        <v>355525</v>
      </c>
      <c r="P121" s="40">
        <v>196742</v>
      </c>
      <c r="Q121" s="40">
        <v>139640</v>
      </c>
      <c r="R121" s="40">
        <v>103766</v>
      </c>
      <c r="S121" s="20"/>
      <c r="T121" s="20"/>
      <c r="U121" s="40">
        <v>12026269</v>
      </c>
      <c r="V121" s="40">
        <v>6171223</v>
      </c>
      <c r="W121" s="40">
        <v>3135207</v>
      </c>
      <c r="X121" s="40">
        <v>1732773</v>
      </c>
      <c r="Y121" s="40">
        <v>1234994</v>
      </c>
      <c r="Z121" s="40">
        <v>1084329</v>
      </c>
      <c r="AA121" s="20"/>
      <c r="AB121" s="20"/>
      <c r="AC121" s="40">
        <v>99794905</v>
      </c>
      <c r="AD121" s="40">
        <v>51379455</v>
      </c>
      <c r="AE121" s="40">
        <v>25719381</v>
      </c>
      <c r="AF121" s="40">
        <v>14290008</v>
      </c>
      <c r="AG121" s="40">
        <v>10262286</v>
      </c>
      <c r="AH121" s="42">
        <v>18596456</v>
      </c>
      <c r="AI121" s="21"/>
    </row>
    <row r="122" spans="2:35">
      <c r="B122" s="22"/>
      <c r="C122" s="23"/>
      <c r="D122" s="41" t="s">
        <v>20</v>
      </c>
      <c r="E122" s="40">
        <v>159228</v>
      </c>
      <c r="F122" s="40">
        <v>84435</v>
      </c>
      <c r="G122" s="40">
        <v>43436</v>
      </c>
      <c r="H122" s="40">
        <v>22478</v>
      </c>
      <c r="I122" s="40">
        <v>15838</v>
      </c>
      <c r="J122" s="40">
        <v>14099</v>
      </c>
      <c r="K122" s="20"/>
      <c r="L122" s="20"/>
      <c r="M122" s="40">
        <v>1353678</v>
      </c>
      <c r="N122" s="40">
        <v>697064</v>
      </c>
      <c r="O122" s="40">
        <v>353640</v>
      </c>
      <c r="P122" s="40">
        <v>196724</v>
      </c>
      <c r="Q122" s="40">
        <v>139581</v>
      </c>
      <c r="R122" s="40">
        <v>101392</v>
      </c>
      <c r="S122" s="20"/>
      <c r="T122" s="20"/>
      <c r="U122" s="40">
        <v>12029893</v>
      </c>
      <c r="V122" s="40">
        <v>6112924</v>
      </c>
      <c r="W122" s="40">
        <v>3136530</v>
      </c>
      <c r="X122" s="40">
        <v>1729837</v>
      </c>
      <c r="Y122" s="40">
        <v>1237812</v>
      </c>
      <c r="Z122" s="40">
        <v>1097059</v>
      </c>
      <c r="AA122" s="20"/>
      <c r="AB122" s="20"/>
      <c r="AC122" s="40">
        <v>99809082</v>
      </c>
      <c r="AD122" s="40">
        <v>50426169</v>
      </c>
      <c r="AE122" s="40">
        <v>25745225</v>
      </c>
      <c r="AF122" s="40">
        <v>14306136</v>
      </c>
      <c r="AG122" s="40">
        <v>10196186</v>
      </c>
      <c r="AH122" s="42">
        <v>18412334</v>
      </c>
      <c r="AI122" s="21"/>
    </row>
    <row r="123" spans="2:35">
      <c r="B123" s="22"/>
      <c r="C123" s="23"/>
      <c r="D123" s="41" t="s">
        <v>21</v>
      </c>
      <c r="E123" s="40">
        <v>164377</v>
      </c>
      <c r="F123" s="40">
        <v>83263</v>
      </c>
      <c r="G123" s="40">
        <v>43366</v>
      </c>
      <c r="H123" s="40">
        <v>22499</v>
      </c>
      <c r="I123" s="40">
        <v>15919</v>
      </c>
      <c r="J123" s="40">
        <v>12069</v>
      </c>
      <c r="K123" s="20"/>
      <c r="L123" s="20"/>
      <c r="M123" s="40">
        <v>1354645</v>
      </c>
      <c r="N123" s="40">
        <v>694071</v>
      </c>
      <c r="O123" s="40">
        <v>353415</v>
      </c>
      <c r="P123" s="40">
        <v>196471</v>
      </c>
      <c r="Q123" s="40">
        <v>138420</v>
      </c>
      <c r="R123" s="40">
        <v>102276</v>
      </c>
      <c r="S123" s="20"/>
      <c r="T123" s="20"/>
      <c r="U123" s="40">
        <v>12030108</v>
      </c>
      <c r="V123" s="40">
        <v>6207548</v>
      </c>
      <c r="W123" s="40">
        <v>3137964</v>
      </c>
      <c r="X123" s="40">
        <v>1731380</v>
      </c>
      <c r="Y123" s="40">
        <v>1234489</v>
      </c>
      <c r="Z123" s="40">
        <v>1124206</v>
      </c>
      <c r="AA123" s="20"/>
      <c r="AB123" s="20"/>
      <c r="AC123" s="40">
        <v>99820410</v>
      </c>
      <c r="AD123" s="40">
        <v>51540874</v>
      </c>
      <c r="AE123" s="40">
        <v>25720407</v>
      </c>
      <c r="AF123" s="40">
        <v>14319536</v>
      </c>
      <c r="AG123" s="40">
        <v>10188073</v>
      </c>
      <c r="AH123" s="42">
        <v>18790946</v>
      </c>
      <c r="AI123" s="21"/>
    </row>
    <row r="124" spans="2:35">
      <c r="B124" s="22"/>
      <c r="C124" s="23"/>
      <c r="D124" s="41" t="s">
        <v>22</v>
      </c>
      <c r="E124" s="40">
        <v>159487</v>
      </c>
      <c r="F124" s="40">
        <v>82857</v>
      </c>
      <c r="G124" s="40">
        <v>43787</v>
      </c>
      <c r="H124" s="40">
        <v>22469</v>
      </c>
      <c r="I124" s="40">
        <v>15785</v>
      </c>
      <c r="J124" s="40">
        <v>12890</v>
      </c>
      <c r="K124" s="20"/>
      <c r="L124" s="20"/>
      <c r="M124" s="40">
        <v>1354143</v>
      </c>
      <c r="N124" s="40">
        <v>691109</v>
      </c>
      <c r="O124" s="40">
        <v>353972</v>
      </c>
      <c r="P124" s="40">
        <v>196470</v>
      </c>
      <c r="Q124" s="40">
        <v>139933</v>
      </c>
      <c r="R124" s="40">
        <v>91530</v>
      </c>
      <c r="S124" s="20"/>
      <c r="T124" s="20"/>
      <c r="U124" s="40">
        <v>12026700</v>
      </c>
      <c r="V124" s="40">
        <v>6254622</v>
      </c>
      <c r="W124" s="40">
        <v>3138489</v>
      </c>
      <c r="X124" s="40">
        <v>1732757</v>
      </c>
      <c r="Y124" s="40">
        <v>1278071</v>
      </c>
      <c r="Z124" s="40">
        <v>1079497</v>
      </c>
      <c r="AA124" s="20"/>
      <c r="AB124" s="20"/>
      <c r="AC124" s="40">
        <v>99827497</v>
      </c>
      <c r="AD124" s="40">
        <v>51272305</v>
      </c>
      <c r="AE124" s="40">
        <v>25715016</v>
      </c>
      <c r="AF124" s="40">
        <v>14307926</v>
      </c>
      <c r="AG124" s="40">
        <v>10168108</v>
      </c>
      <c r="AH124" s="42">
        <v>18582530</v>
      </c>
      <c r="AI124" s="21"/>
    </row>
    <row r="125" spans="2:35">
      <c r="B125" s="22"/>
      <c r="C125" s="23"/>
      <c r="D125" s="41" t="s">
        <v>23</v>
      </c>
      <c r="E125" s="40">
        <v>158903</v>
      </c>
      <c r="F125" s="40">
        <v>83364</v>
      </c>
      <c r="G125" s="40">
        <v>43428</v>
      </c>
      <c r="H125" s="40">
        <v>22462</v>
      </c>
      <c r="I125" s="40">
        <v>15808</v>
      </c>
      <c r="J125" s="40">
        <v>13932</v>
      </c>
      <c r="K125" s="20"/>
      <c r="L125" s="20"/>
      <c r="M125" s="40">
        <v>1357505</v>
      </c>
      <c r="N125" s="40">
        <v>688542</v>
      </c>
      <c r="O125" s="40">
        <v>353185</v>
      </c>
      <c r="P125" s="40">
        <v>195990</v>
      </c>
      <c r="Q125" s="40">
        <v>139926</v>
      </c>
      <c r="R125" s="40">
        <v>102673</v>
      </c>
      <c r="S125" s="20"/>
      <c r="T125" s="20"/>
      <c r="U125" s="40">
        <v>12022924</v>
      </c>
      <c r="V125" s="40">
        <v>6209895</v>
      </c>
      <c r="W125" s="40">
        <v>3138913</v>
      </c>
      <c r="X125" s="40">
        <v>1730295</v>
      </c>
      <c r="Y125" s="40">
        <v>2349905</v>
      </c>
      <c r="Z125" s="40">
        <v>1072865</v>
      </c>
      <c r="AA125" s="20"/>
      <c r="AB125" s="20"/>
      <c r="AC125" s="40">
        <v>99782350</v>
      </c>
      <c r="AD125" s="40">
        <v>51077183</v>
      </c>
      <c r="AE125" s="40">
        <v>25692203</v>
      </c>
      <c r="AF125" s="40">
        <v>14366719</v>
      </c>
      <c r="AG125" s="40">
        <v>10198551</v>
      </c>
      <c r="AH125" s="42">
        <v>18455900</v>
      </c>
      <c r="AI125" s="21"/>
    </row>
    <row r="126" spans="2:35">
      <c r="B126" s="22"/>
      <c r="C126" s="23"/>
      <c r="D126" s="41" t="s">
        <v>24</v>
      </c>
      <c r="E126" s="40">
        <v>164198</v>
      </c>
      <c r="F126" s="40">
        <v>84374</v>
      </c>
      <c r="G126" s="40">
        <v>43503</v>
      </c>
      <c r="H126" s="40">
        <v>23885</v>
      </c>
      <c r="I126" s="40">
        <v>15828</v>
      </c>
      <c r="J126" s="40">
        <v>13781</v>
      </c>
      <c r="K126" s="20"/>
      <c r="L126" s="20"/>
      <c r="M126" s="40">
        <v>1357698</v>
      </c>
      <c r="N126" s="40">
        <v>695204</v>
      </c>
      <c r="O126" s="40">
        <v>353842</v>
      </c>
      <c r="P126" s="40">
        <v>198195</v>
      </c>
      <c r="Q126" s="40">
        <v>139573</v>
      </c>
      <c r="R126" s="40">
        <v>92740</v>
      </c>
      <c r="S126" s="20"/>
      <c r="T126" s="20"/>
      <c r="U126" s="40">
        <v>12026141</v>
      </c>
      <c r="V126" s="40">
        <v>6135287</v>
      </c>
      <c r="W126" s="40">
        <v>3145144</v>
      </c>
      <c r="X126" s="40">
        <v>1730044</v>
      </c>
      <c r="Y126" s="40">
        <v>2464327</v>
      </c>
      <c r="Z126" s="40">
        <v>1124864</v>
      </c>
      <c r="AA126" s="20"/>
      <c r="AB126" s="20"/>
      <c r="AC126" s="40">
        <v>99150072</v>
      </c>
      <c r="AD126" s="40">
        <v>51434840</v>
      </c>
      <c r="AE126" s="40">
        <v>25732415</v>
      </c>
      <c r="AF126" s="40">
        <v>14353121</v>
      </c>
      <c r="AG126" s="40">
        <v>10234532</v>
      </c>
      <c r="AH126" s="42">
        <v>18235771</v>
      </c>
      <c r="AI126" s="21"/>
    </row>
    <row r="127" spans="2:35">
      <c r="B127" s="22"/>
      <c r="C127" s="23"/>
      <c r="D127" s="41" t="s">
        <v>25</v>
      </c>
      <c r="E127" s="40">
        <v>164203</v>
      </c>
      <c r="F127" s="40">
        <v>82756</v>
      </c>
      <c r="G127" s="40">
        <v>43263</v>
      </c>
      <c r="H127" s="40">
        <v>22479</v>
      </c>
      <c r="I127" s="40">
        <v>15822</v>
      </c>
      <c r="J127" s="40">
        <v>13737</v>
      </c>
      <c r="K127" s="20"/>
      <c r="L127" s="20"/>
      <c r="M127" s="40">
        <v>1354255</v>
      </c>
      <c r="N127" s="40">
        <v>696565</v>
      </c>
      <c r="O127" s="40">
        <v>353224</v>
      </c>
      <c r="P127" s="40">
        <v>196990</v>
      </c>
      <c r="Q127" s="40">
        <v>139356</v>
      </c>
      <c r="R127" s="40">
        <v>102080</v>
      </c>
      <c r="S127" s="20"/>
      <c r="T127" s="20"/>
      <c r="U127" s="40">
        <v>12034158</v>
      </c>
      <c r="V127" s="40">
        <v>6203014</v>
      </c>
      <c r="W127" s="40">
        <v>3137716</v>
      </c>
      <c r="X127" s="40">
        <v>1730647</v>
      </c>
      <c r="Y127" s="40">
        <v>1227372</v>
      </c>
      <c r="Z127" s="40">
        <v>1091554</v>
      </c>
      <c r="AA127" s="20"/>
      <c r="AB127" s="20"/>
      <c r="AC127" s="40">
        <v>99820798</v>
      </c>
      <c r="AD127" s="40">
        <v>51508325</v>
      </c>
      <c r="AE127" s="40">
        <v>25734710</v>
      </c>
      <c r="AF127" s="40">
        <v>14303240</v>
      </c>
      <c r="AG127" s="40">
        <v>10251205</v>
      </c>
      <c r="AH127" s="42">
        <v>19086503</v>
      </c>
      <c r="AI127" s="21"/>
    </row>
    <row r="128" spans="2:35">
      <c r="B128" s="22"/>
      <c r="C128" s="23"/>
      <c r="D128" s="41" t="s">
        <v>26</v>
      </c>
      <c r="E128" s="40">
        <v>164365</v>
      </c>
      <c r="F128" s="40">
        <v>83076</v>
      </c>
      <c r="G128" s="40">
        <v>43605</v>
      </c>
      <c r="H128" s="40">
        <v>22477</v>
      </c>
      <c r="I128" s="40">
        <v>15827</v>
      </c>
      <c r="J128" s="40">
        <v>13745</v>
      </c>
      <c r="K128" s="20"/>
      <c r="L128" s="20"/>
      <c r="M128" s="40">
        <v>1354552</v>
      </c>
      <c r="N128" s="40">
        <v>697371</v>
      </c>
      <c r="O128" s="40">
        <v>353208</v>
      </c>
      <c r="P128" s="40">
        <v>197086</v>
      </c>
      <c r="Q128" s="40">
        <v>139411</v>
      </c>
      <c r="R128" s="40">
        <v>102829</v>
      </c>
      <c r="S128" s="20"/>
      <c r="T128" s="20"/>
      <c r="U128" s="40">
        <v>12028197</v>
      </c>
      <c r="V128" s="40">
        <v>6196618</v>
      </c>
      <c r="W128" s="40">
        <v>3138477</v>
      </c>
      <c r="X128" s="40">
        <v>1733199</v>
      </c>
      <c r="Y128" s="40">
        <v>1220164</v>
      </c>
      <c r="Z128" s="40">
        <v>971419</v>
      </c>
      <c r="AA128" s="20"/>
      <c r="AB128" s="20"/>
      <c r="AC128" s="40">
        <v>99832798</v>
      </c>
      <c r="AD128" s="40">
        <v>50949209</v>
      </c>
      <c r="AE128" s="40">
        <v>25737120</v>
      </c>
      <c r="AF128" s="40">
        <v>14294518</v>
      </c>
      <c r="AG128" s="40">
        <v>10174259</v>
      </c>
      <c r="AH128" s="42">
        <v>18618791</v>
      </c>
      <c r="AI128" s="21"/>
    </row>
    <row r="129" spans="2:35">
      <c r="B129" s="22"/>
      <c r="C129" s="23"/>
      <c r="D129" s="41" t="s">
        <v>27</v>
      </c>
      <c r="E129" s="40">
        <v>164324</v>
      </c>
      <c r="F129" s="40">
        <v>82867</v>
      </c>
      <c r="G129" s="40">
        <v>43524</v>
      </c>
      <c r="H129" s="40">
        <v>22483</v>
      </c>
      <c r="I129" s="40">
        <v>15809</v>
      </c>
      <c r="J129" s="40">
        <v>14094</v>
      </c>
      <c r="K129" s="20"/>
      <c r="L129" s="20"/>
      <c r="M129" s="40">
        <v>1354219</v>
      </c>
      <c r="N129" s="40">
        <v>698816</v>
      </c>
      <c r="O129" s="40">
        <v>353352</v>
      </c>
      <c r="P129" s="40">
        <v>198417</v>
      </c>
      <c r="Q129" s="40">
        <v>139165</v>
      </c>
      <c r="R129" s="40">
        <v>101562</v>
      </c>
      <c r="S129" s="20"/>
      <c r="T129" s="20"/>
      <c r="U129" s="40">
        <v>12022782</v>
      </c>
      <c r="V129" s="40">
        <v>6200499</v>
      </c>
      <c r="W129" s="40">
        <v>3137287</v>
      </c>
      <c r="X129" s="40">
        <v>1732882</v>
      </c>
      <c r="Y129" s="40">
        <v>1235934</v>
      </c>
      <c r="Z129" s="40">
        <v>1054825</v>
      </c>
      <c r="AA129" s="20"/>
      <c r="AB129" s="20"/>
      <c r="AC129" s="40">
        <v>99811665</v>
      </c>
      <c r="AD129" s="40">
        <v>50668817</v>
      </c>
      <c r="AE129" s="40">
        <v>25733097</v>
      </c>
      <c r="AF129" s="40">
        <v>14295799</v>
      </c>
      <c r="AG129" s="40">
        <v>10162579</v>
      </c>
      <c r="AH129" s="42">
        <v>18325398</v>
      </c>
      <c r="AI129" s="21"/>
    </row>
    <row r="130" spans="2:35">
      <c r="B130" s="22"/>
      <c r="C130" s="23"/>
      <c r="D130" s="41" t="s">
        <v>28</v>
      </c>
      <c r="E130" s="40">
        <v>164168</v>
      </c>
      <c r="F130" s="40">
        <v>83024</v>
      </c>
      <c r="G130" s="40">
        <v>43427</v>
      </c>
      <c r="H130" s="40">
        <v>22491</v>
      </c>
      <c r="I130" s="40">
        <v>15860</v>
      </c>
      <c r="J130" s="40">
        <v>13953</v>
      </c>
      <c r="K130" s="20"/>
      <c r="L130" s="20"/>
      <c r="M130" s="40">
        <v>1354488</v>
      </c>
      <c r="N130" s="40">
        <v>695964</v>
      </c>
      <c r="O130" s="40">
        <v>353620</v>
      </c>
      <c r="P130" s="40">
        <v>198286</v>
      </c>
      <c r="Q130" s="40">
        <v>139550</v>
      </c>
      <c r="R130" s="40">
        <v>93736</v>
      </c>
      <c r="S130" s="20"/>
      <c r="T130" s="20"/>
      <c r="U130" s="40">
        <v>12030165</v>
      </c>
      <c r="V130" s="40">
        <v>6211936</v>
      </c>
      <c r="W130" s="40">
        <v>3135147</v>
      </c>
      <c r="X130" s="40">
        <v>1733473</v>
      </c>
      <c r="Y130" s="40">
        <v>1239375</v>
      </c>
      <c r="Z130" s="40">
        <v>1135911</v>
      </c>
      <c r="AA130" s="20"/>
      <c r="AB130" s="20"/>
      <c r="AC130" s="40">
        <v>99133972</v>
      </c>
      <c r="AD130" s="40">
        <v>51249502</v>
      </c>
      <c r="AE130" s="40">
        <v>25707369</v>
      </c>
      <c r="AF130" s="40">
        <v>14279397</v>
      </c>
      <c r="AG130" s="40">
        <v>10218817</v>
      </c>
      <c r="AH130" s="42">
        <v>18799202</v>
      </c>
      <c r="AI130" s="21"/>
    </row>
    <row r="131" spans="2:35">
      <c r="B131" s="22"/>
      <c r="C131" s="23"/>
      <c r="D131" s="41" t="s">
        <v>29</v>
      </c>
      <c r="E131" s="40">
        <v>164555</v>
      </c>
      <c r="F131" s="40">
        <v>85020</v>
      </c>
      <c r="G131" s="40">
        <v>43461</v>
      </c>
      <c r="H131" s="40">
        <v>22478</v>
      </c>
      <c r="I131" s="40">
        <v>15834</v>
      </c>
      <c r="J131" s="40">
        <v>13393</v>
      </c>
      <c r="K131" s="20"/>
      <c r="L131" s="20"/>
      <c r="M131" s="40">
        <v>1357343</v>
      </c>
      <c r="N131" s="40">
        <v>691447</v>
      </c>
      <c r="O131" s="40">
        <v>353769</v>
      </c>
      <c r="P131" s="40">
        <v>197110</v>
      </c>
      <c r="Q131" s="40">
        <v>140796</v>
      </c>
      <c r="R131" s="40">
        <v>102631</v>
      </c>
      <c r="S131" s="20"/>
      <c r="T131" s="20"/>
      <c r="U131" s="40">
        <v>12033006</v>
      </c>
      <c r="V131" s="40">
        <v>6128266</v>
      </c>
      <c r="W131" s="40">
        <v>3144573</v>
      </c>
      <c r="X131" s="40">
        <v>1733266</v>
      </c>
      <c r="Y131" s="40">
        <v>1237895</v>
      </c>
      <c r="Z131" s="40">
        <v>1078330</v>
      </c>
      <c r="AA131" s="20"/>
      <c r="AB131" s="20"/>
      <c r="AC131" s="40">
        <v>99816830</v>
      </c>
      <c r="AD131" s="40">
        <v>51575165</v>
      </c>
      <c r="AE131" s="40">
        <v>25666554</v>
      </c>
      <c r="AF131" s="40">
        <v>14345739</v>
      </c>
      <c r="AG131" s="40">
        <v>10228301</v>
      </c>
      <c r="AH131" s="42">
        <v>17931565</v>
      </c>
      <c r="AI131" s="21"/>
    </row>
    <row r="132" spans="2:35">
      <c r="B132" s="22"/>
      <c r="C132" s="23"/>
      <c r="D132" s="41" t="s">
        <v>30</v>
      </c>
      <c r="E132" s="40">
        <v>164595</v>
      </c>
      <c r="F132" s="40">
        <v>82771</v>
      </c>
      <c r="G132" s="40">
        <v>43445</v>
      </c>
      <c r="H132" s="40">
        <v>22486</v>
      </c>
      <c r="I132" s="40">
        <v>15827</v>
      </c>
      <c r="J132" s="40">
        <v>12171</v>
      </c>
      <c r="K132" s="20"/>
      <c r="L132" s="20"/>
      <c r="M132" s="40">
        <v>1355095</v>
      </c>
      <c r="N132" s="40">
        <v>681295</v>
      </c>
      <c r="O132" s="40">
        <v>353343</v>
      </c>
      <c r="P132" s="40">
        <v>196542</v>
      </c>
      <c r="Q132" s="40">
        <v>141356</v>
      </c>
      <c r="R132" s="40">
        <v>100375</v>
      </c>
      <c r="S132" s="20"/>
      <c r="T132" s="20"/>
      <c r="U132" s="40">
        <v>12024194</v>
      </c>
      <c r="V132" s="40">
        <v>6205328</v>
      </c>
      <c r="W132" s="40">
        <v>3136973</v>
      </c>
      <c r="X132" s="40">
        <v>1735037</v>
      </c>
      <c r="Y132" s="40">
        <v>1236707</v>
      </c>
      <c r="Z132" s="40">
        <v>1066127</v>
      </c>
      <c r="AA132" s="20"/>
      <c r="AB132" s="20"/>
      <c r="AC132" s="40">
        <v>99855520</v>
      </c>
      <c r="AD132" s="40">
        <v>51421994</v>
      </c>
      <c r="AE132" s="40">
        <v>25711120</v>
      </c>
      <c r="AF132" s="40">
        <v>14288266</v>
      </c>
      <c r="AG132" s="40">
        <v>10125823</v>
      </c>
      <c r="AH132" s="42">
        <v>17669761</v>
      </c>
      <c r="AI132" s="21"/>
    </row>
    <row r="133" spans="2:35">
      <c r="B133" s="22"/>
      <c r="C133" s="23"/>
      <c r="D133" s="41" t="s">
        <v>31</v>
      </c>
      <c r="E133" s="40">
        <v>164253</v>
      </c>
      <c r="F133" s="40">
        <v>84899</v>
      </c>
      <c r="G133" s="40">
        <v>43647</v>
      </c>
      <c r="H133" s="40">
        <v>22488</v>
      </c>
      <c r="I133" s="40">
        <v>15839</v>
      </c>
      <c r="J133" s="40">
        <v>16906</v>
      </c>
      <c r="K133" s="20"/>
      <c r="L133" s="20"/>
      <c r="M133" s="40">
        <v>1356532</v>
      </c>
      <c r="N133" s="40">
        <v>691750</v>
      </c>
      <c r="O133" s="40">
        <v>353999</v>
      </c>
      <c r="P133" s="40">
        <v>197478</v>
      </c>
      <c r="Q133" s="40">
        <v>139568</v>
      </c>
      <c r="R133" s="40">
        <v>101475</v>
      </c>
      <c r="S133" s="20"/>
      <c r="T133" s="20"/>
      <c r="U133" s="40">
        <v>12025396</v>
      </c>
      <c r="V133" s="40">
        <v>6220848</v>
      </c>
      <c r="W133" s="40">
        <v>3137696</v>
      </c>
      <c r="X133" s="40">
        <v>1734950</v>
      </c>
      <c r="Y133" s="40">
        <v>1236290</v>
      </c>
      <c r="Z133" s="40">
        <v>1104707</v>
      </c>
      <c r="AA133" s="20"/>
      <c r="AB133" s="20"/>
      <c r="AC133" s="40">
        <v>99818797</v>
      </c>
      <c r="AD133" s="40">
        <v>51726367</v>
      </c>
      <c r="AE133" s="40">
        <v>25711574</v>
      </c>
      <c r="AF133" s="40">
        <v>14307845</v>
      </c>
      <c r="AG133" s="40">
        <v>10186485</v>
      </c>
      <c r="AH133" s="42">
        <v>18193091</v>
      </c>
      <c r="AI133" s="21"/>
    </row>
    <row r="134" spans="2:35">
      <c r="B134" s="22"/>
      <c r="C134" s="23"/>
      <c r="D134" s="41" t="s">
        <v>32</v>
      </c>
      <c r="E134" s="40">
        <v>164438</v>
      </c>
      <c r="F134" s="40">
        <v>85036</v>
      </c>
      <c r="G134" s="40">
        <v>43932</v>
      </c>
      <c r="H134" s="40">
        <v>22490</v>
      </c>
      <c r="I134" s="40">
        <v>15839</v>
      </c>
      <c r="J134" s="40">
        <v>13333</v>
      </c>
      <c r="K134" s="20"/>
      <c r="L134" s="20"/>
      <c r="M134" s="40">
        <v>1355482</v>
      </c>
      <c r="N134" s="40">
        <v>699398</v>
      </c>
      <c r="O134" s="40">
        <v>353862</v>
      </c>
      <c r="P134" s="40">
        <v>197393</v>
      </c>
      <c r="Q134" s="40">
        <v>139533</v>
      </c>
      <c r="R134" s="40">
        <v>101876</v>
      </c>
      <c r="S134" s="20"/>
      <c r="T134" s="20"/>
      <c r="U134" s="40">
        <v>12026325</v>
      </c>
      <c r="V134" s="40">
        <v>6182286</v>
      </c>
      <c r="W134" s="40">
        <v>3147533</v>
      </c>
      <c r="X134" s="40">
        <v>1731796</v>
      </c>
      <c r="Y134" s="40">
        <v>1234472</v>
      </c>
      <c r="Z134" s="40">
        <v>1121453</v>
      </c>
      <c r="AA134" s="20"/>
      <c r="AB134" s="20"/>
      <c r="AC134" s="40">
        <v>99159106</v>
      </c>
      <c r="AD134" s="40">
        <v>51411924</v>
      </c>
      <c r="AE134" s="40">
        <v>25704533</v>
      </c>
      <c r="AF134" s="40">
        <v>14306763</v>
      </c>
      <c r="AG134" s="40">
        <v>10234419</v>
      </c>
      <c r="AH134" s="42">
        <v>18229281</v>
      </c>
      <c r="AI134" s="21"/>
    </row>
    <row r="135" spans="2:35">
      <c r="B135" s="22"/>
      <c r="C135" s="23"/>
      <c r="D135" s="41" t="s">
        <v>33</v>
      </c>
      <c r="E135" s="40">
        <v>164356</v>
      </c>
      <c r="F135" s="40">
        <v>83540</v>
      </c>
      <c r="G135" s="40">
        <v>43563</v>
      </c>
      <c r="H135" s="40">
        <v>22526</v>
      </c>
      <c r="I135" s="40">
        <v>15925</v>
      </c>
      <c r="J135" s="40">
        <v>13525</v>
      </c>
      <c r="K135" s="20"/>
      <c r="L135" s="20"/>
      <c r="M135" s="40">
        <v>1329934</v>
      </c>
      <c r="N135" s="40">
        <v>687534</v>
      </c>
      <c r="O135" s="40">
        <v>353524</v>
      </c>
      <c r="P135" s="40">
        <v>197006</v>
      </c>
      <c r="Q135" s="40">
        <v>140126</v>
      </c>
      <c r="R135" s="40">
        <v>91215</v>
      </c>
      <c r="S135" s="20"/>
      <c r="T135" s="20"/>
      <c r="U135" s="40">
        <v>12027696</v>
      </c>
      <c r="V135" s="40">
        <v>6228399</v>
      </c>
      <c r="W135" s="40">
        <v>3138770</v>
      </c>
      <c r="X135" s="40">
        <v>1734032</v>
      </c>
      <c r="Y135" s="40">
        <v>1240552</v>
      </c>
      <c r="Z135" s="40">
        <v>1102550</v>
      </c>
      <c r="AA135" s="20"/>
      <c r="AB135" s="20"/>
      <c r="AC135" s="40">
        <v>99158882</v>
      </c>
      <c r="AD135" s="40">
        <v>51371718</v>
      </c>
      <c r="AE135" s="40">
        <v>25726303</v>
      </c>
      <c r="AF135" s="40">
        <v>14300425</v>
      </c>
      <c r="AG135" s="40">
        <v>10205535</v>
      </c>
      <c r="AH135" s="42">
        <v>18324617</v>
      </c>
      <c r="AI135" s="21"/>
    </row>
    <row r="136" spans="2:35">
      <c r="B136" s="22"/>
      <c r="C136" s="23"/>
      <c r="D136" s="41" t="s">
        <v>34</v>
      </c>
      <c r="E136" s="40">
        <v>164357</v>
      </c>
      <c r="F136" s="40">
        <v>85293</v>
      </c>
      <c r="G136" s="40">
        <v>44693</v>
      </c>
      <c r="H136" s="40">
        <v>22493</v>
      </c>
      <c r="I136" s="40">
        <v>15986</v>
      </c>
      <c r="J136" s="40">
        <v>13155</v>
      </c>
      <c r="K136" s="20"/>
      <c r="L136" s="20"/>
      <c r="M136" s="40">
        <v>1356290</v>
      </c>
      <c r="N136" s="40">
        <v>697583</v>
      </c>
      <c r="O136" s="40">
        <v>353286</v>
      </c>
      <c r="P136" s="40">
        <v>197701</v>
      </c>
      <c r="Q136" s="40">
        <v>139683</v>
      </c>
      <c r="R136" s="40">
        <v>102988</v>
      </c>
      <c r="S136" s="20"/>
      <c r="T136" s="20"/>
      <c r="U136" s="40">
        <v>12028282</v>
      </c>
      <c r="V136" s="40">
        <v>6208297</v>
      </c>
      <c r="W136" s="40">
        <v>3141151</v>
      </c>
      <c r="X136" s="40">
        <v>1733161</v>
      </c>
      <c r="Y136" s="40">
        <v>1236620</v>
      </c>
      <c r="Z136" s="40">
        <v>1063876</v>
      </c>
      <c r="AA136" s="20"/>
      <c r="AB136" s="20"/>
      <c r="AC136" s="40">
        <v>99155838</v>
      </c>
      <c r="AD136" s="40">
        <v>50938629</v>
      </c>
      <c r="AE136" s="40">
        <v>25677817</v>
      </c>
      <c r="AF136" s="40">
        <v>14355073</v>
      </c>
      <c r="AG136" s="40">
        <v>10191099</v>
      </c>
      <c r="AH136" s="42">
        <v>18551252</v>
      </c>
      <c r="AI136" s="21"/>
    </row>
    <row r="137" spans="2:35">
      <c r="B137" s="22"/>
      <c r="C137" s="23"/>
      <c r="D137" s="41" t="s">
        <v>35</v>
      </c>
      <c r="E137" s="40">
        <v>159062</v>
      </c>
      <c r="F137" s="40">
        <v>84819</v>
      </c>
      <c r="G137" s="40">
        <v>44325</v>
      </c>
      <c r="H137" s="40">
        <v>22457</v>
      </c>
      <c r="I137" s="40">
        <v>15823</v>
      </c>
      <c r="J137" s="40">
        <v>16334</v>
      </c>
      <c r="K137" s="20"/>
      <c r="L137" s="20"/>
      <c r="M137" s="40">
        <v>1356277</v>
      </c>
      <c r="N137" s="40">
        <v>691814</v>
      </c>
      <c r="O137" s="40">
        <v>353899</v>
      </c>
      <c r="P137" s="40">
        <v>197493</v>
      </c>
      <c r="Q137" s="40">
        <v>139739</v>
      </c>
      <c r="R137" s="40">
        <v>92331</v>
      </c>
      <c r="S137" s="20"/>
      <c r="T137" s="20"/>
      <c r="U137" s="40">
        <v>12025777</v>
      </c>
      <c r="V137" s="40">
        <v>6181076</v>
      </c>
      <c r="W137" s="40">
        <v>3139265</v>
      </c>
      <c r="X137" s="40">
        <v>1731646</v>
      </c>
      <c r="Y137" s="40">
        <v>1239151</v>
      </c>
      <c r="Z137" s="40">
        <v>1040677</v>
      </c>
      <c r="AA137" s="20"/>
      <c r="AB137" s="20"/>
      <c r="AC137" s="40">
        <v>99168772</v>
      </c>
      <c r="AD137" s="40">
        <v>51261563</v>
      </c>
      <c r="AE137" s="40">
        <v>25707134</v>
      </c>
      <c r="AF137" s="40">
        <v>14308247</v>
      </c>
      <c r="AG137" s="40">
        <v>10228875</v>
      </c>
      <c r="AH137" s="42">
        <v>18359724</v>
      </c>
      <c r="AI137" s="21"/>
    </row>
    <row r="138" spans="2:35">
      <c r="B138" s="22"/>
      <c r="C138" s="23"/>
      <c r="D138" s="41" t="s">
        <v>36</v>
      </c>
      <c r="E138" s="40">
        <v>164215</v>
      </c>
      <c r="F138" s="40">
        <v>85083</v>
      </c>
      <c r="G138" s="40">
        <v>43568</v>
      </c>
      <c r="H138" s="40">
        <v>22495</v>
      </c>
      <c r="I138" s="40">
        <v>15830</v>
      </c>
      <c r="J138" s="40">
        <v>14187</v>
      </c>
      <c r="K138" s="20"/>
      <c r="L138" s="20"/>
      <c r="M138" s="40">
        <v>1357115</v>
      </c>
      <c r="N138" s="40">
        <v>699361</v>
      </c>
      <c r="O138" s="40">
        <v>353744</v>
      </c>
      <c r="P138" s="40">
        <v>197585</v>
      </c>
      <c r="Q138" s="40">
        <v>139422</v>
      </c>
      <c r="R138" s="40">
        <v>103388</v>
      </c>
      <c r="S138" s="20"/>
      <c r="T138" s="20"/>
      <c r="U138" s="40">
        <v>12024085</v>
      </c>
      <c r="V138" s="40">
        <v>6231130</v>
      </c>
      <c r="W138" s="40">
        <v>3139628</v>
      </c>
      <c r="X138" s="40">
        <v>1732368</v>
      </c>
      <c r="Y138" s="40">
        <v>1236568</v>
      </c>
      <c r="Z138" s="40">
        <v>1103538</v>
      </c>
      <c r="AA138" s="20"/>
      <c r="AB138" s="20"/>
      <c r="AC138" s="40">
        <v>99820567</v>
      </c>
      <c r="AD138" s="40">
        <v>51674939</v>
      </c>
      <c r="AE138" s="40">
        <v>25719119</v>
      </c>
      <c r="AF138" s="40">
        <v>14293816</v>
      </c>
      <c r="AG138" s="40">
        <v>10179781</v>
      </c>
      <c r="AH138" s="42">
        <v>18435819</v>
      </c>
      <c r="AI138" s="21"/>
    </row>
    <row r="139" spans="2:35">
      <c r="B139" s="22"/>
      <c r="C139" s="23"/>
      <c r="D139" s="41" t="s">
        <v>37</v>
      </c>
      <c r="E139" s="40">
        <v>158891</v>
      </c>
      <c r="F139" s="40">
        <v>84750</v>
      </c>
      <c r="G139" s="40">
        <v>43563</v>
      </c>
      <c r="H139" s="40">
        <v>22484</v>
      </c>
      <c r="I139" s="40">
        <v>15817</v>
      </c>
      <c r="J139" s="40">
        <v>14990</v>
      </c>
      <c r="K139" s="20"/>
      <c r="L139" s="20"/>
      <c r="M139" s="40">
        <v>1354845</v>
      </c>
      <c r="N139" s="40">
        <v>698706</v>
      </c>
      <c r="O139" s="40">
        <v>353607</v>
      </c>
      <c r="P139" s="40">
        <v>197364</v>
      </c>
      <c r="Q139" s="40">
        <v>140032</v>
      </c>
      <c r="R139" s="40">
        <v>101996</v>
      </c>
      <c r="S139" s="20"/>
      <c r="T139" s="20"/>
      <c r="U139" s="40">
        <v>12029992</v>
      </c>
      <c r="V139" s="40">
        <v>6226849</v>
      </c>
      <c r="W139" s="40">
        <v>3137579</v>
      </c>
      <c r="X139" s="40">
        <v>1730077</v>
      </c>
      <c r="Y139" s="40">
        <v>1239554</v>
      </c>
      <c r="Z139" s="40">
        <v>1098981</v>
      </c>
      <c r="AA139" s="20"/>
      <c r="AB139" s="20"/>
      <c r="AC139" s="40">
        <v>99149614</v>
      </c>
      <c r="AD139" s="40">
        <v>51536189</v>
      </c>
      <c r="AE139" s="40">
        <v>25692818</v>
      </c>
      <c r="AF139" s="40">
        <v>14237521</v>
      </c>
      <c r="AG139" s="40">
        <v>10165583</v>
      </c>
      <c r="AH139" s="42">
        <v>18806561</v>
      </c>
      <c r="AI139" s="21"/>
    </row>
    <row r="140" spans="2:35">
      <c r="B140" s="22"/>
      <c r="C140" s="23"/>
      <c r="D140" s="41" t="s">
        <v>38</v>
      </c>
      <c r="E140" s="40">
        <v>164402</v>
      </c>
      <c r="F140" s="40">
        <v>85155</v>
      </c>
      <c r="G140" s="40">
        <v>43851</v>
      </c>
      <c r="H140" s="40">
        <v>22495</v>
      </c>
      <c r="I140" s="40">
        <v>15846</v>
      </c>
      <c r="J140" s="40">
        <v>19909</v>
      </c>
      <c r="K140" s="20"/>
      <c r="L140" s="20"/>
      <c r="M140" s="40">
        <v>1358722</v>
      </c>
      <c r="N140" s="40">
        <v>698712</v>
      </c>
      <c r="O140" s="40">
        <v>353583</v>
      </c>
      <c r="P140" s="40">
        <v>197427</v>
      </c>
      <c r="Q140" s="40">
        <v>139890</v>
      </c>
      <c r="R140" s="40">
        <v>103646</v>
      </c>
      <c r="S140" s="20"/>
      <c r="T140" s="20"/>
      <c r="U140" s="40">
        <v>12034635</v>
      </c>
      <c r="V140" s="40">
        <v>6183027</v>
      </c>
      <c r="W140" s="40">
        <v>3137399</v>
      </c>
      <c r="X140" s="40">
        <v>1730617</v>
      </c>
      <c r="Y140" s="40">
        <v>1236106</v>
      </c>
      <c r="Z140" s="40">
        <v>1100072</v>
      </c>
      <c r="AA140" s="20"/>
      <c r="AB140" s="20"/>
      <c r="AC140" s="40">
        <v>99844399</v>
      </c>
      <c r="AD140" s="40">
        <v>51317263</v>
      </c>
      <c r="AE140" s="40">
        <v>25724453</v>
      </c>
      <c r="AF140" s="40">
        <v>14272097</v>
      </c>
      <c r="AG140" s="40">
        <v>10191619</v>
      </c>
      <c r="AH140" s="42">
        <v>17821630</v>
      </c>
      <c r="AI140" s="21"/>
    </row>
    <row r="141" spans="2:35">
      <c r="B141" s="22"/>
      <c r="C141" s="23"/>
      <c r="D141" s="41" t="s">
        <v>39</v>
      </c>
      <c r="E141" s="40">
        <v>164409</v>
      </c>
      <c r="F141" s="40">
        <v>84680</v>
      </c>
      <c r="G141" s="40">
        <v>44251</v>
      </c>
      <c r="H141" s="40">
        <v>22479</v>
      </c>
      <c r="I141" s="40">
        <v>15826</v>
      </c>
      <c r="J141" s="40">
        <v>17543</v>
      </c>
      <c r="K141" s="20"/>
      <c r="L141" s="20"/>
      <c r="M141" s="40">
        <v>1354646</v>
      </c>
      <c r="N141" s="40">
        <v>698822</v>
      </c>
      <c r="O141" s="40">
        <v>353365</v>
      </c>
      <c r="P141" s="40">
        <v>201052</v>
      </c>
      <c r="Q141" s="40">
        <v>139919</v>
      </c>
      <c r="R141" s="40">
        <v>100537</v>
      </c>
      <c r="S141" s="20"/>
      <c r="T141" s="20"/>
      <c r="U141" s="40">
        <v>12031726</v>
      </c>
      <c r="V141" s="40">
        <v>6228858</v>
      </c>
      <c r="W141" s="40">
        <v>3137932</v>
      </c>
      <c r="X141" s="40">
        <v>1734689</v>
      </c>
      <c r="Y141" s="40">
        <v>1235527</v>
      </c>
      <c r="Z141" s="40">
        <v>1157380</v>
      </c>
      <c r="AA141" s="20"/>
      <c r="AB141" s="20"/>
      <c r="AC141" s="40">
        <v>99837644</v>
      </c>
      <c r="AD141" s="40">
        <v>51075016</v>
      </c>
      <c r="AE141" s="40">
        <v>25733365</v>
      </c>
      <c r="AF141" s="40">
        <v>14287652</v>
      </c>
      <c r="AG141" s="40">
        <v>10174767</v>
      </c>
      <c r="AH141" s="42">
        <v>18760596</v>
      </c>
      <c r="AI141" s="21"/>
    </row>
    <row r="142" spans="2:35">
      <c r="B142" s="22"/>
      <c r="C142" s="23"/>
      <c r="D142" s="41" t="s">
        <v>40</v>
      </c>
      <c r="E142" s="40">
        <v>164303</v>
      </c>
      <c r="F142" s="40">
        <v>85003</v>
      </c>
      <c r="G142" s="40">
        <v>43534</v>
      </c>
      <c r="H142" s="40">
        <v>22546</v>
      </c>
      <c r="I142" s="40">
        <v>15852</v>
      </c>
      <c r="J142" s="40">
        <v>15735</v>
      </c>
      <c r="K142" s="20"/>
      <c r="L142" s="20"/>
      <c r="M142" s="40">
        <v>1353493</v>
      </c>
      <c r="N142" s="40">
        <v>698396</v>
      </c>
      <c r="O142" s="40">
        <v>353744</v>
      </c>
      <c r="P142" s="40">
        <v>196917</v>
      </c>
      <c r="Q142" s="40">
        <v>139430</v>
      </c>
      <c r="R142" s="40">
        <v>102505</v>
      </c>
      <c r="S142" s="20"/>
      <c r="T142" s="20"/>
      <c r="U142" s="40">
        <v>12032153</v>
      </c>
      <c r="V142" s="40">
        <v>6223300</v>
      </c>
      <c r="W142" s="40">
        <v>3138410</v>
      </c>
      <c r="X142" s="40">
        <v>1730153</v>
      </c>
      <c r="Y142" s="40">
        <v>1238163</v>
      </c>
      <c r="Z142" s="40">
        <v>1039699</v>
      </c>
      <c r="AA142" s="20"/>
      <c r="AB142" s="20"/>
      <c r="AC142" s="40">
        <v>99097181</v>
      </c>
      <c r="AD142" s="40">
        <v>51677067</v>
      </c>
      <c r="AE142" s="40">
        <v>25721672</v>
      </c>
      <c r="AF142" s="40">
        <v>14323482</v>
      </c>
      <c r="AG142" s="40">
        <v>10188014</v>
      </c>
      <c r="AH142" s="42">
        <v>18958109</v>
      </c>
      <c r="AI142" s="21"/>
    </row>
    <row r="143" spans="2:35" ht="16.5" customHeight="1" thickBot="1">
      <c r="B143" s="22"/>
      <c r="C143" s="24"/>
      <c r="D143" s="36" t="s">
        <v>41</v>
      </c>
      <c r="E143" s="25" cm="1">
        <f t="array" ref="E143">ROUND(AVERAGE(IF((ISNUMBER(E113:E142))*(E113:E142&lt;LARGE(E113:E142,2))*(E113:E142&gt;SMALL(E113:E142,2)),E113:E142)),0)</f>
        <v>163521</v>
      </c>
      <c r="F143" s="25" cm="1">
        <f t="array" ref="F143">ROUND(AVERAGE(IF((ISNUMBER(F113:F142))*(F113:F142&lt;LARGE(F113:F142,2))*(F113:F142&gt;SMALL(F113:F142,2)),F113:F142)),0)</f>
        <v>83917</v>
      </c>
      <c r="G143" s="25" cm="1">
        <f t="array" ref="G143">ROUND(AVERAGE(IF((ISNUMBER(G113:G142))*(G113:G142&lt;LARGE(G113:G142,2))*(G113:G142&gt;SMALL(G113:G142,2)),G113:G142)),0)</f>
        <v>43663</v>
      </c>
      <c r="H143" s="25" cm="1">
        <f t="array" ref="H143">ROUND(AVERAGE(IF((ISNUMBER(H113:H142))*(H113:H142&lt;LARGE(H113:H142,2))*(H113:H142&gt;SMALL(H113:H142,2)),H113:H142)),0)</f>
        <v>22490</v>
      </c>
      <c r="I143" s="25" cm="1">
        <f t="array" ref="I143">ROUND(AVERAGE(IF((ISNUMBER(I113:I142))*(I113:I142&lt;LARGE(I113:I142,2))*(I113:I142&gt;SMALL(I113:I142,2)),I113:I142)),0)</f>
        <v>15838</v>
      </c>
      <c r="J143" s="25" cm="1">
        <f t="array" ref="J143">ROUND(AVERAGE(IF((ISNUMBER(J113:J142))*(J113:J142&lt;LARGE(J113:J142,2))*(J113:J142&gt;SMALL(J113:J142,2)),J113:J142)),0)</f>
        <v>14438</v>
      </c>
      <c r="K143" s="25"/>
      <c r="L143" s="25"/>
      <c r="M143" s="25" cm="1">
        <f t="array" ref="M143">ROUND(AVERAGE(IF((ISNUMBER(M113:M142))*(M113:M142&lt;LARGE(M113:M142,2))*(M113:M142&gt;SMALL(M113:M142,2)),M113:M142)),0)</f>
        <v>1355738</v>
      </c>
      <c r="N143" s="25" cm="1">
        <f t="array" ref="N143">ROUND(AVERAGE(IF((ISNUMBER(N113:N142))*(N113:N142&lt;LARGE(N113:N142,2))*(N113:N142&gt;SMALL(N113:N142,2)),N113:N142)),0)</f>
        <v>695255</v>
      </c>
      <c r="O143" s="25" cm="1">
        <f t="array" ref="O143">ROUND(AVERAGE(IF((ISNUMBER(O113:O142))*(O113:O142&lt;LARGE(O113:O142,2))*(O113:O142&gt;SMALL(O113:O142,2)),O113:O142)),0)</f>
        <v>353572</v>
      </c>
      <c r="P143" s="25" cm="1">
        <f t="array" ref="P143">ROUND(AVERAGE(IF((ISNUMBER(P113:P142))*(P113:P142&lt;LARGE(P113:P142,2))*(P113:P142&gt;SMALL(P113:P142,2)),P113:P142)),0)</f>
        <v>196999</v>
      </c>
      <c r="Q143" s="25" cm="1">
        <f t="array" ref="Q143">ROUND(AVERAGE(IF((ISNUMBER(Q113:Q142))*(Q113:Q142&lt;LARGE(Q113:Q142,2))*(Q113:Q142&gt;SMALL(Q113:Q142,2)),Q113:Q142)),0)</f>
        <v>139618</v>
      </c>
      <c r="R143" s="25" cm="1">
        <f t="array" ref="R143">ROUND(AVERAGE(IF((ISNUMBER(R113:R142))*(R113:R142&lt;LARGE(R113:R142,2))*(R113:R142&gt;SMALL(R113:R142,2)),R113:R142)),0)</f>
        <v>100522</v>
      </c>
      <c r="S143" s="25"/>
      <c r="T143" s="25"/>
      <c r="U143" s="25" cm="1">
        <f t="array" ref="U143">ROUND(AVERAGE(IF((ISNUMBER(U113:U142))*(U113:U142&lt;LARGE(U113:U142,2))*(U113:U142&gt;SMALL(U113:U142,2)),U113:U142)),0)</f>
        <v>12027030</v>
      </c>
      <c r="V143" s="25" cm="1">
        <f t="array" ref="V143">ROUND(AVERAGE(IF((ISNUMBER(V113:V142))*(V113:V142&lt;LARGE(V113:V142,2))*(V113:V142&gt;SMALL(V113:V142,2)),V113:V142)),0)</f>
        <v>6199007</v>
      </c>
      <c r="W143" s="25" cm="1">
        <f t="array" ref="W143">ROUND(AVERAGE(IF((ISNUMBER(W113:W142))*(W113:W142&lt;LARGE(W113:W142,2))*(W113:W142&gt;SMALL(W113:W142,2)),W113:W142)),0)</f>
        <v>3138623</v>
      </c>
      <c r="X143" s="25" cm="1">
        <f t="array" ref="X143">ROUND(AVERAGE(IF((ISNUMBER(X113:X142))*(X113:X142&lt;LARGE(X113:X142,2))*(X113:X142&gt;SMALL(X113:X142,2)),X113:X142)),0)</f>
        <v>1731621</v>
      </c>
      <c r="Y143" s="25" cm="1">
        <f t="array" ref="Y143">ROUND(AVERAGE(IF((ISNUMBER(Y113:Y142))*(Y113:Y142&lt;LARGE(Y113:Y142,2))*(Y113:Y142&gt;SMALL(Y113:Y142,2)),Y113:Y142)),0)</f>
        <v>1238891</v>
      </c>
      <c r="Z143" s="25" cm="1">
        <f t="array" ref="Z143">ROUND(AVERAGE(IF((ISNUMBER(Z113:Z142))*(Z113:Z142&lt;LARGE(Z113:Z142,2))*(Z113:Z142&gt;SMALL(Z113:Z142,2)),Z113:Z142)),0)</f>
        <v>1091545</v>
      </c>
      <c r="AA143" s="25"/>
      <c r="AB143" s="25"/>
      <c r="AC143" s="25" cm="1">
        <f t="array" ref="AC143">ROUND(AVERAGE(IF((ISNUMBER(AC113:AC142))*(AC113:AC142&lt;LARGE(AC113:AC142,2))*(AC113:AC142&gt;SMALL(AC113:AC142,2)),AC113:AC142)),0)</f>
        <v>99612598</v>
      </c>
      <c r="AD143" s="25" cm="1">
        <f t="array" ref="AD143">ROUND(AVERAGE(IF((ISNUMBER(AD113:AD142))*(AD113:AD142&lt;LARGE(AD113:AD142,2))*(AD113:AD142&gt;SMALL(AD113:AD142,2)),AD113:AD142)),0)</f>
        <v>51199481</v>
      </c>
      <c r="AE143" s="25" cm="1">
        <f t="array" ref="AE143">ROUND(AVERAGE(IF((ISNUMBER(AE113:AE142))*(AE113:AE142&lt;LARGE(AE113:AE142,2))*(AE113:AE142&gt;SMALL(AE113:AE142,2)),AE113:AE142)),0)</f>
        <v>25718172</v>
      </c>
      <c r="AF143" s="25" cm="1">
        <f t="array" ref="AF143">ROUND(AVERAGE(IF((ISNUMBER(AF113:AF142))*(AF113:AF142&lt;LARGE(AF113:AF142,2))*(AF113:AF142&gt;SMALL(AF113:AF142,2)),AF113:AF142)),0)</f>
        <v>14306078</v>
      </c>
      <c r="AG143" s="25" cm="1">
        <f t="array" ref="AG143">ROUND(AVERAGE(IF((ISNUMBER(AG113:AG142))*(AG113:AG142&lt;LARGE(AG113:AG142,2))*(AG113:AG142&gt;SMALL(AG113:AG142,2)),AG113:AG142)),0)</f>
        <v>10195417</v>
      </c>
      <c r="AH143" s="25" cm="1">
        <f t="array" ref="AH143">ROUND(AVERAGE(IF((ISNUMBER(AH113:AH142))*(AH113:AH142&lt;LARGE(AH113:AH142,2))*(AH113:AH142&gt;SMALL(AH113:AH142,2)),AH113:AH142)),0)</f>
        <v>18486073</v>
      </c>
      <c r="AI143" s="21"/>
    </row>
    <row r="144" spans="2:35" ht="16.5" customHeight="1" thickBot="1">
      <c r="B144" s="26"/>
      <c r="C144" s="27"/>
      <c r="D144" s="3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8"/>
    </row>
    <row r="145" spans="4:4">
      <c r="D145" s="1"/>
    </row>
    <row r="146" spans="4:4">
      <c r="D146" s="1"/>
    </row>
  </sheetData>
  <mergeCells count="12">
    <mergeCell ref="K4:L4"/>
    <mergeCell ref="S4:T4"/>
    <mergeCell ref="AA4:AB4"/>
    <mergeCell ref="K40:L40"/>
    <mergeCell ref="S40:T40"/>
    <mergeCell ref="AA40:AB40"/>
    <mergeCell ref="AA76:AB76"/>
    <mergeCell ref="S76:T76"/>
    <mergeCell ref="K76:L76"/>
    <mergeCell ref="K112:L112"/>
    <mergeCell ref="S112:T112"/>
    <mergeCell ref="AA112:AB1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94C3-8059-4775-A519-544C60E17FF9}">
  <dimension ref="B5:AK274"/>
  <sheetViews>
    <sheetView tabSelected="1" topLeftCell="B1" zoomScale="43" zoomScaleNormal="55" workbookViewId="0">
      <selection activeCell="AS118" sqref="AS118"/>
    </sheetView>
  </sheetViews>
  <sheetFormatPr defaultColWidth="11.42578125" defaultRowHeight="15"/>
  <cols>
    <col min="3" max="3" width="27.140625" customWidth="1"/>
    <col min="4" max="4" width="10.85546875" customWidth="1"/>
    <col min="11" max="11" width="10.85546875" customWidth="1"/>
  </cols>
  <sheetData>
    <row r="5" spans="2:37" ht="15.95" thickBot="1"/>
    <row r="6" spans="2:37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4"/>
    </row>
    <row r="7" spans="2:37" ht="36.950000000000003">
      <c r="B7" s="5"/>
      <c r="C7" s="6" t="s">
        <v>0</v>
      </c>
      <c r="D7" s="6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8"/>
    </row>
    <row r="8" spans="2:37">
      <c r="B8" s="5"/>
      <c r="C8" s="9" t="s">
        <v>45</v>
      </c>
      <c r="D8" s="9" t="s">
        <v>2</v>
      </c>
      <c r="E8" s="9" t="s">
        <v>3</v>
      </c>
      <c r="F8" s="9" t="s">
        <v>4</v>
      </c>
      <c r="G8" s="9" t="s">
        <v>5</v>
      </c>
      <c r="H8" s="9" t="s">
        <v>6</v>
      </c>
      <c r="I8" s="9" t="s">
        <v>7</v>
      </c>
      <c r="J8" s="7"/>
      <c r="K8" s="46" t="s">
        <v>45</v>
      </c>
      <c r="L8" s="46"/>
      <c r="M8" s="9" t="s">
        <v>2</v>
      </c>
      <c r="N8" s="9" t="s">
        <v>3</v>
      </c>
      <c r="O8" s="9" t="s">
        <v>4</v>
      </c>
      <c r="P8" s="9" t="s">
        <v>5</v>
      </c>
      <c r="Q8" s="9" t="s">
        <v>6</v>
      </c>
      <c r="R8" s="9" t="s">
        <v>7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8"/>
    </row>
    <row r="9" spans="2:37">
      <c r="B9" s="5"/>
      <c r="C9" s="7" t="s">
        <v>46</v>
      </c>
      <c r="D9" s="7">
        <v>1</v>
      </c>
      <c r="E9" s="7">
        <f>$D10/E10</f>
        <v>1.9102637282270363</v>
      </c>
      <c r="F9" s="7">
        <f t="shared" ref="F9:I9" si="0">$D10/F10</f>
        <v>3.7440588045064809</v>
      </c>
      <c r="G9" s="7">
        <f t="shared" si="0"/>
        <v>7.1492539804399344</v>
      </c>
      <c r="H9" s="7">
        <f t="shared" si="0"/>
        <v>5.5621502304745825</v>
      </c>
      <c r="I9" s="7">
        <f t="shared" si="0"/>
        <v>6.6795933323977481</v>
      </c>
      <c r="J9" s="7"/>
      <c r="K9" s="47" t="s">
        <v>47</v>
      </c>
      <c r="L9" s="47"/>
      <c r="M9" s="7">
        <f t="shared" ref="M9:R9" si="1">(D9+D12+D15+D18)/4</f>
        <v>1</v>
      </c>
      <c r="N9" s="7">
        <f t="shared" si="1"/>
        <v>2.0120580755947062</v>
      </c>
      <c r="O9" s="7">
        <f t="shared" si="1"/>
        <v>4.0165146122809574</v>
      </c>
      <c r="P9" s="7">
        <f t="shared" si="1"/>
        <v>7.1595001081176601</v>
      </c>
      <c r="Q9" s="7">
        <f t="shared" si="1"/>
        <v>6.5807351625473149</v>
      </c>
      <c r="R9" s="7">
        <f t="shared" si="1"/>
        <v>6.5668165757889216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8"/>
    </row>
    <row r="10" spans="2:37">
      <c r="B10" s="5"/>
      <c r="C10" s="7" t="s">
        <v>48</v>
      </c>
      <c r="D10" s="7">
        <f>'Información completa'!E35</f>
        <v>428369</v>
      </c>
      <c r="E10" s="7">
        <f>'Información completa'!F35</f>
        <v>224246</v>
      </c>
      <c r="F10" s="7">
        <f>'Información completa'!G35</f>
        <v>114413</v>
      </c>
      <c r="G10" s="7">
        <f>'Información completa'!H35</f>
        <v>59918</v>
      </c>
      <c r="H10" s="7">
        <f>'Información completa'!I35</f>
        <v>77015</v>
      </c>
      <c r="I10" s="7">
        <f>'Información completa'!J35</f>
        <v>64131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8"/>
    </row>
    <row r="11" spans="2:37">
      <c r="B11" s="5"/>
      <c r="C11" s="9" t="s">
        <v>45</v>
      </c>
      <c r="D11" s="9" t="s">
        <v>2</v>
      </c>
      <c r="E11" s="9" t="s">
        <v>3</v>
      </c>
      <c r="F11" s="9" t="s">
        <v>4</v>
      </c>
      <c r="G11" s="9" t="s">
        <v>5</v>
      </c>
      <c r="H11" s="9" t="s">
        <v>6</v>
      </c>
      <c r="I11" s="9" t="s">
        <v>7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8"/>
    </row>
    <row r="12" spans="2:37">
      <c r="B12" s="5"/>
      <c r="C12" s="7" t="s">
        <v>49</v>
      </c>
      <c r="D12" s="7">
        <v>1</v>
      </c>
      <c r="E12" s="7">
        <f>$D13/E13</f>
        <v>1.9289150653278586</v>
      </c>
      <c r="F12" s="7">
        <f t="shared" ref="F12:I12" si="2">$D13/F13</f>
        <v>3.8228338678323333</v>
      </c>
      <c r="G12" s="7">
        <f t="shared" si="2"/>
        <v>6.6378774582550353</v>
      </c>
      <c r="H12" s="7">
        <f t="shared" si="2"/>
        <v>6.0296346790573443</v>
      </c>
      <c r="I12" s="7">
        <f t="shared" si="2"/>
        <v>5.7336591147810765</v>
      </c>
      <c r="J12" s="7"/>
      <c r="K12" s="7"/>
      <c r="L12" s="7"/>
      <c r="M12" s="7"/>
      <c r="N12" s="7"/>
      <c r="O12" s="44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8"/>
    </row>
    <row r="13" spans="2:37">
      <c r="B13" s="5"/>
      <c r="C13" s="7" t="s">
        <v>50</v>
      </c>
      <c r="D13" s="7">
        <f>'Información completa'!M35</f>
        <v>4334222</v>
      </c>
      <c r="E13" s="7">
        <f>'Información completa'!N35</f>
        <v>2246974</v>
      </c>
      <c r="F13" s="7">
        <f>'Información completa'!O35</f>
        <v>1133772</v>
      </c>
      <c r="G13" s="7">
        <f>'Información completa'!P35</f>
        <v>652953</v>
      </c>
      <c r="H13" s="7">
        <f>'Información completa'!Q35</f>
        <v>718820</v>
      </c>
      <c r="I13" s="7">
        <f>'Información completa'!R35</f>
        <v>755926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8"/>
    </row>
    <row r="14" spans="2:37">
      <c r="B14" s="5"/>
      <c r="C14" s="9" t="s">
        <v>45</v>
      </c>
      <c r="D14" s="9" t="s">
        <v>2</v>
      </c>
      <c r="E14" s="9" t="s">
        <v>3</v>
      </c>
      <c r="F14" s="9" t="s">
        <v>4</v>
      </c>
      <c r="G14" s="9" t="s">
        <v>5</v>
      </c>
      <c r="H14" s="9" t="s">
        <v>6</v>
      </c>
      <c r="I14" s="9" t="s">
        <v>7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8"/>
    </row>
    <row r="15" spans="2:37">
      <c r="B15" s="5"/>
      <c r="C15" s="7" t="s">
        <v>51</v>
      </c>
      <c r="D15" s="7">
        <v>1</v>
      </c>
      <c r="E15" s="7">
        <f>$D16/E16</f>
        <v>1.9988426921260334</v>
      </c>
      <c r="F15" s="7">
        <f t="shared" ref="F15" si="3">$D16/F16</f>
        <v>4.0591750361587629</v>
      </c>
      <c r="G15" s="7">
        <f t="shared" ref="G15" si="4">$D16/G16</f>
        <v>7.12087436327805</v>
      </c>
      <c r="H15" s="7">
        <f t="shared" ref="H15" si="5">$D16/H16</f>
        <v>7.0928412704448549</v>
      </c>
      <c r="I15" s="7">
        <f t="shared" ref="I15" si="6">$D16/I16</f>
        <v>7.7348438226698324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8"/>
    </row>
    <row r="16" spans="2:37">
      <c r="B16" s="5"/>
      <c r="C16" s="7" t="s">
        <v>52</v>
      </c>
      <c r="D16" s="7">
        <f>'Información completa'!U35</f>
        <v>59688529</v>
      </c>
      <c r="E16" s="7">
        <f>'Información completa'!V35</f>
        <v>29861544</v>
      </c>
      <c r="F16" s="7">
        <f>'Información completa'!W35</f>
        <v>14704596</v>
      </c>
      <c r="G16" s="7">
        <f>'Información completa'!X35</f>
        <v>8382191</v>
      </c>
      <c r="H16" s="7">
        <f>'Información completa'!Y35</f>
        <v>8415320</v>
      </c>
      <c r="I16" s="7">
        <f>'Información completa'!Z35</f>
        <v>7716837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8"/>
    </row>
    <row r="17" spans="2:37">
      <c r="B17" s="5"/>
      <c r="C17" s="9" t="s">
        <v>45</v>
      </c>
      <c r="D17" s="9" t="s">
        <v>2</v>
      </c>
      <c r="E17" s="9" t="s">
        <v>3</v>
      </c>
      <c r="F17" s="9" t="s">
        <v>4</v>
      </c>
      <c r="G17" s="9" t="s">
        <v>5</v>
      </c>
      <c r="H17" s="9" t="s">
        <v>6</v>
      </c>
      <c r="I17" s="9" t="s">
        <v>7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8"/>
    </row>
    <row r="18" spans="2:37">
      <c r="B18" s="5"/>
      <c r="C18" s="7" t="s">
        <v>53</v>
      </c>
      <c r="D18" s="7">
        <v>1</v>
      </c>
      <c r="E18" s="7">
        <f>$D19/E19</f>
        <v>2.2102108166978969</v>
      </c>
      <c r="F18" s="7">
        <f t="shared" ref="F18" si="7">$D19/F19</f>
        <v>4.4399907406262518</v>
      </c>
      <c r="G18" s="7">
        <f t="shared" ref="G18" si="8">$D19/G19</f>
        <v>7.7299946304976235</v>
      </c>
      <c r="H18" s="7">
        <f t="shared" ref="H18" si="9">$D19/H19</f>
        <v>7.638314470212479</v>
      </c>
      <c r="I18" s="7">
        <f t="shared" ref="I18" si="10">$D19/I19</f>
        <v>6.1191700333070305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8"/>
    </row>
    <row r="19" spans="2:37">
      <c r="B19" s="5"/>
      <c r="C19" s="7" t="s">
        <v>54</v>
      </c>
      <c r="D19" s="7">
        <f>'Información completa'!AC35</f>
        <v>611877859</v>
      </c>
      <c r="E19" s="7">
        <f>'Información completa'!AD35</f>
        <v>276841401</v>
      </c>
      <c r="F19" s="7">
        <f>'Información completa'!AE35</f>
        <v>137810616</v>
      </c>
      <c r="G19" s="7">
        <f>'Información completa'!AF35</f>
        <v>79156311</v>
      </c>
      <c r="H19" s="7">
        <f>'Información completa'!AG35</f>
        <v>80106398</v>
      </c>
      <c r="I19" s="7">
        <f>'Información completa'!AH35</f>
        <v>99993603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8"/>
    </row>
    <row r="20" spans="2:37">
      <c r="B20" s="5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8"/>
    </row>
    <row r="21" spans="2:37">
      <c r="B21" s="5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8"/>
    </row>
    <row r="22" spans="2:37">
      <c r="B22" s="5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8"/>
    </row>
    <row r="23" spans="2:37">
      <c r="B23" s="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8"/>
    </row>
    <row r="24" spans="2:37">
      <c r="B24" s="5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8"/>
    </row>
    <row r="25" spans="2:37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8"/>
    </row>
    <row r="26" spans="2:37">
      <c r="B26" s="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8"/>
    </row>
    <row r="27" spans="2:37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8"/>
    </row>
    <row r="28" spans="2:37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8"/>
    </row>
    <row r="29" spans="2:37">
      <c r="B29" s="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8"/>
    </row>
    <row r="30" spans="2:37">
      <c r="B30" s="5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8"/>
    </row>
    <row r="31" spans="2:37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8"/>
    </row>
    <row r="32" spans="2:37">
      <c r="B32" s="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8"/>
    </row>
    <row r="33" spans="2:37">
      <c r="B33" s="5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8"/>
    </row>
    <row r="34" spans="2:37">
      <c r="B34" s="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8"/>
    </row>
    <row r="35" spans="2:37"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8"/>
    </row>
    <row r="36" spans="2:37">
      <c r="B36" s="5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8"/>
    </row>
    <row r="37" spans="2:37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8"/>
    </row>
    <row r="38" spans="2:37">
      <c r="B38" s="5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8"/>
    </row>
    <row r="39" spans="2:37">
      <c r="B39" s="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8"/>
    </row>
    <row r="40" spans="2:37">
      <c r="B40" s="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8"/>
    </row>
    <row r="41" spans="2:37">
      <c r="B41" s="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8"/>
    </row>
    <row r="42" spans="2:37">
      <c r="B42" s="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8"/>
    </row>
    <row r="43" spans="2:37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8"/>
    </row>
    <row r="44" spans="2:37">
      <c r="B44" s="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8"/>
    </row>
    <row r="45" spans="2:37">
      <c r="B45" s="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8"/>
    </row>
    <row r="46" spans="2:37">
      <c r="B46" s="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8"/>
    </row>
    <row r="47" spans="2:37">
      <c r="B47" s="5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8"/>
    </row>
    <row r="48" spans="2:37">
      <c r="B48" s="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8"/>
    </row>
    <row r="49" spans="2:37">
      <c r="B49" s="5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8"/>
    </row>
    <row r="50" spans="2:37">
      <c r="B50" s="5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8"/>
    </row>
    <row r="51" spans="2:37">
      <c r="B51" s="5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8"/>
    </row>
    <row r="52" spans="2:37">
      <c r="B52" s="5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8"/>
    </row>
    <row r="53" spans="2:37">
      <c r="B53" s="5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8"/>
    </row>
    <row r="54" spans="2:37">
      <c r="B54" s="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8"/>
    </row>
    <row r="55" spans="2:37">
      <c r="B55" s="5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8"/>
    </row>
    <row r="56" spans="2:37">
      <c r="B56" s="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8"/>
    </row>
    <row r="57" spans="2:37">
      <c r="B57" s="5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8"/>
    </row>
    <row r="58" spans="2:37">
      <c r="B58" s="5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8"/>
    </row>
    <row r="59" spans="2:37">
      <c r="B59" s="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8"/>
    </row>
    <row r="60" spans="2:37">
      <c r="B60" s="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8"/>
    </row>
    <row r="61" spans="2:37">
      <c r="B61" s="5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8"/>
    </row>
    <row r="62" spans="2:37">
      <c r="B62" s="5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8"/>
    </row>
    <row r="63" spans="2:37">
      <c r="B63" s="5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8"/>
    </row>
    <row r="64" spans="2:37">
      <c r="B64" s="5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8"/>
    </row>
    <row r="65" spans="2:37">
      <c r="B65" s="5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8"/>
    </row>
    <row r="66" spans="2:37">
      <c r="B66" s="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8"/>
    </row>
    <row r="67" spans="2:37">
      <c r="B67" s="5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8"/>
    </row>
    <row r="68" spans="2:37">
      <c r="B68" s="5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8"/>
    </row>
    <row r="69" spans="2:37">
      <c r="B69" s="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8"/>
    </row>
    <row r="70" spans="2:37" ht="28.5" customHeight="1" thickBot="1">
      <c r="B70" s="10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2"/>
    </row>
    <row r="73" spans="2:37" ht="15.95" thickBot="1"/>
    <row r="74" spans="2:37"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4"/>
    </row>
    <row r="75" spans="2:37" ht="36.950000000000003">
      <c r="B75" s="5"/>
      <c r="C75" s="6" t="s">
        <v>42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8"/>
    </row>
    <row r="76" spans="2:37">
      <c r="B76" s="5"/>
      <c r="C76" s="9" t="s">
        <v>45</v>
      </c>
      <c r="D76" s="9" t="s">
        <v>2</v>
      </c>
      <c r="E76" s="9" t="s">
        <v>3</v>
      </c>
      <c r="F76" s="9" t="s">
        <v>4</v>
      </c>
      <c r="G76" s="9" t="s">
        <v>5</v>
      </c>
      <c r="H76" s="9" t="s">
        <v>6</v>
      </c>
      <c r="I76" s="9" t="s">
        <v>7</v>
      </c>
      <c r="J76" s="7"/>
      <c r="K76" s="46" t="s">
        <v>45</v>
      </c>
      <c r="L76" s="46"/>
      <c r="M76" s="9" t="s">
        <v>2</v>
      </c>
      <c r="N76" s="9" t="s">
        <v>3</v>
      </c>
      <c r="O76" s="9" t="s">
        <v>4</v>
      </c>
      <c r="P76" s="9" t="s">
        <v>5</v>
      </c>
      <c r="Q76" s="9" t="s">
        <v>6</v>
      </c>
      <c r="R76" s="9" t="s">
        <v>7</v>
      </c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8"/>
    </row>
    <row r="77" spans="2:37">
      <c r="B77" s="5"/>
      <c r="C77" s="7" t="s">
        <v>46</v>
      </c>
      <c r="D77" s="7">
        <v>1</v>
      </c>
      <c r="E77" s="7">
        <f>$D78/E78</f>
        <v>1.9338106585054602</v>
      </c>
      <c r="F77" s="7">
        <f t="shared" ref="F77" si="11">$D78/F78</f>
        <v>3.7529752120454996</v>
      </c>
      <c r="G77" s="7">
        <f t="shared" ref="G77" si="12">$D78/G78</f>
        <v>7.2145354961028021</v>
      </c>
      <c r="H77" s="7">
        <f t="shared" ref="H77" si="13">$D78/H78</f>
        <v>9.732139812446718</v>
      </c>
      <c r="I77" s="7">
        <f t="shared" ref="I77" si="14">$D78/I78</f>
        <v>9.6656694513434189</v>
      </c>
      <c r="J77" s="7"/>
      <c r="K77" s="47" t="s">
        <v>47</v>
      </c>
      <c r="L77" s="47"/>
      <c r="M77" s="7">
        <f t="shared" ref="M77:R77" si="15">(D77+D80+D83+D86)/4</f>
        <v>1</v>
      </c>
      <c r="N77" s="7">
        <f t="shared" si="15"/>
        <v>1.9570389252587499</v>
      </c>
      <c r="O77" s="7">
        <f t="shared" si="15"/>
        <v>3.8868710123585215</v>
      </c>
      <c r="P77" s="7">
        <f t="shared" si="15"/>
        <v>6.9679032880320193</v>
      </c>
      <c r="Q77" s="7">
        <f t="shared" si="15"/>
        <v>7.273796438278457</v>
      </c>
      <c r="R77" s="7">
        <f t="shared" si="15"/>
        <v>7.1779964343366371</v>
      </c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8"/>
    </row>
    <row r="78" spans="2:37">
      <c r="B78" s="5"/>
      <c r="C78" s="7" t="s">
        <v>48</v>
      </c>
      <c r="D78" s="7">
        <f>'Información completa'!E71</f>
        <v>171237</v>
      </c>
      <c r="E78" s="7">
        <f>'Información completa'!F71</f>
        <v>88549</v>
      </c>
      <c r="F78" s="7">
        <f>'Información completa'!G71</f>
        <v>45627</v>
      </c>
      <c r="G78" s="7">
        <f>'Información completa'!H71</f>
        <v>23735</v>
      </c>
      <c r="H78" s="7">
        <f>'Información completa'!I71</f>
        <v>17595</v>
      </c>
      <c r="I78" s="7">
        <f>'Información completa'!J71</f>
        <v>17716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8"/>
    </row>
    <row r="79" spans="2:37">
      <c r="B79" s="5"/>
      <c r="C79" s="9" t="s">
        <v>45</v>
      </c>
      <c r="D79" s="9" t="s">
        <v>2</v>
      </c>
      <c r="E79" s="9" t="s">
        <v>3</v>
      </c>
      <c r="F79" s="9" t="s">
        <v>4</v>
      </c>
      <c r="G79" s="9" t="s">
        <v>5</v>
      </c>
      <c r="H79" s="9" t="s">
        <v>6</v>
      </c>
      <c r="I79" s="9" t="s">
        <v>7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8"/>
    </row>
    <row r="80" spans="2:37">
      <c r="B80" s="5"/>
      <c r="C80" s="7" t="s">
        <v>49</v>
      </c>
      <c r="D80" s="7">
        <v>1</v>
      </c>
      <c r="E80" s="7">
        <f>$D81/E81</f>
        <v>1.9242892546945198</v>
      </c>
      <c r="F80" s="7">
        <f t="shared" ref="F80" si="16">$D81/F81</f>
        <v>3.8267862012023111</v>
      </c>
      <c r="G80" s="7">
        <f t="shared" ref="G80" si="17">$D81/G81</f>
        <v>6.7463026523864293</v>
      </c>
      <c r="H80" s="7">
        <f t="shared" ref="H80" si="18">$D81/H81</f>
        <v>4.605341765008955</v>
      </c>
      <c r="I80" s="7">
        <f>$D81/I81</f>
        <v>2.3543024761618079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8"/>
    </row>
    <row r="81" spans="2:37">
      <c r="B81" s="5"/>
      <c r="C81" s="7" t="s">
        <v>50</v>
      </c>
      <c r="D81" s="7">
        <f>'Información completa'!M71</f>
        <v>1501673</v>
      </c>
      <c r="E81" s="7">
        <f>'Información completa'!N71</f>
        <v>780378</v>
      </c>
      <c r="F81" s="7">
        <f>'Información completa'!O71</f>
        <v>392411</v>
      </c>
      <c r="G81" s="7">
        <f>'Información completa'!P71</f>
        <v>222592</v>
      </c>
      <c r="H81" s="7">
        <f>'Información completa'!Q71</f>
        <v>326072</v>
      </c>
      <c r="I81" s="7">
        <f>'Información completa'!R71</f>
        <v>637842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8"/>
    </row>
    <row r="82" spans="2:37">
      <c r="B82" s="5"/>
      <c r="C82" s="9" t="s">
        <v>45</v>
      </c>
      <c r="D82" s="9" t="s">
        <v>2</v>
      </c>
      <c r="E82" s="9" t="s">
        <v>3</v>
      </c>
      <c r="F82" s="9" t="s">
        <v>4</v>
      </c>
      <c r="G82" s="9" t="s">
        <v>5</v>
      </c>
      <c r="H82" s="9" t="s">
        <v>6</v>
      </c>
      <c r="I82" s="9" t="s">
        <v>7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8"/>
    </row>
    <row r="83" spans="2:37">
      <c r="B83" s="5"/>
      <c r="C83" s="7" t="s">
        <v>51</v>
      </c>
      <c r="D83" s="7">
        <v>1</v>
      </c>
      <c r="E83" s="7">
        <f>$D84/E84</f>
        <v>1.965781327953313</v>
      </c>
      <c r="F83" s="7">
        <f t="shared" ref="F83" si="19">$D84/F84</f>
        <v>3.9473920429411535</v>
      </c>
      <c r="G83" s="7">
        <f t="shared" ref="G83" si="20">$D84/G84</f>
        <v>6.9339489141905188</v>
      </c>
      <c r="H83" s="7">
        <f t="shared" ref="H83" si="21">$D84/H84</f>
        <v>7.1017809251392805</v>
      </c>
      <c r="I83" s="7">
        <f>$D84/I84</f>
        <v>8.1357429190619754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8"/>
    </row>
    <row r="84" spans="2:37">
      <c r="B84" s="5"/>
      <c r="C84" s="7" t="s">
        <v>52</v>
      </c>
      <c r="D84" s="7">
        <f>'Información completa'!U71</f>
        <v>51337148</v>
      </c>
      <c r="E84" s="7">
        <f>'Información completa'!V71</f>
        <v>26115391</v>
      </c>
      <c r="F84" s="7">
        <f>'Información completa'!W71</f>
        <v>13005333</v>
      </c>
      <c r="G84" s="7">
        <f>'Información completa'!X71</f>
        <v>7403739</v>
      </c>
      <c r="H84" s="7">
        <f>'Información completa'!Y71</f>
        <v>7228771</v>
      </c>
      <c r="I84" s="7">
        <f>'Información completa'!Z71</f>
        <v>6310075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8"/>
    </row>
    <row r="85" spans="2:37">
      <c r="B85" s="5"/>
      <c r="C85" s="9" t="s">
        <v>45</v>
      </c>
      <c r="D85" s="9" t="s">
        <v>2</v>
      </c>
      <c r="E85" s="9" t="s">
        <v>3</v>
      </c>
      <c r="F85" s="9" t="s">
        <v>4</v>
      </c>
      <c r="G85" s="9" t="s">
        <v>5</v>
      </c>
      <c r="H85" s="9" t="s">
        <v>6</v>
      </c>
      <c r="I85" s="9" t="s">
        <v>7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8"/>
    </row>
    <row r="86" spans="2:37">
      <c r="B86" s="5"/>
      <c r="C86" s="7" t="s">
        <v>53</v>
      </c>
      <c r="D86" s="7">
        <v>1</v>
      </c>
      <c r="E86" s="7">
        <f>$D87/E87</f>
        <v>2.004274459881707</v>
      </c>
      <c r="F86" s="7">
        <f t="shared" ref="F86" si="22">$D87/F87</f>
        <v>4.0203305932451219</v>
      </c>
      <c r="G86" s="7">
        <f t="shared" ref="G86" si="23">$D87/G87</f>
        <v>6.9768260894483252</v>
      </c>
      <c r="H86" s="7">
        <f t="shared" ref="H86" si="24">$D87/H87</f>
        <v>7.6559232505188746</v>
      </c>
      <c r="I86" s="7">
        <f>$D87/I87</f>
        <v>8.5562708907793485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8"/>
    </row>
    <row r="87" spans="2:37">
      <c r="B87" s="5"/>
      <c r="C87" s="7" t="s">
        <v>54</v>
      </c>
      <c r="D87" s="7">
        <f>'Información completa'!AC71</f>
        <v>584694243</v>
      </c>
      <c r="E87" s="7">
        <f>'Información completa'!AD71</f>
        <v>291723641</v>
      </c>
      <c r="F87" s="7">
        <f>'Información completa'!AE71</f>
        <v>145434369</v>
      </c>
      <c r="G87" s="7">
        <f>'Información completa'!AF71</f>
        <v>83805191</v>
      </c>
      <c r="H87" s="7">
        <f>'Información completa'!AG71</f>
        <v>76371487</v>
      </c>
      <c r="I87" s="7">
        <f>'Información completa'!AH71</f>
        <v>68335172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8"/>
    </row>
    <row r="88" spans="2:37">
      <c r="B88" s="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8"/>
    </row>
    <row r="89" spans="2:37">
      <c r="B89" s="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8"/>
    </row>
    <row r="90" spans="2:37">
      <c r="B90" s="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8"/>
    </row>
    <row r="91" spans="2:37">
      <c r="B91" s="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8"/>
    </row>
    <row r="92" spans="2:37">
      <c r="B92" s="5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8"/>
    </row>
    <row r="93" spans="2:37">
      <c r="B93" s="5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8"/>
    </row>
    <row r="94" spans="2:37">
      <c r="B94" s="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8"/>
    </row>
    <row r="95" spans="2:37">
      <c r="B95" s="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8"/>
    </row>
    <row r="96" spans="2:37">
      <c r="B96" s="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8"/>
    </row>
    <row r="97" spans="2:37">
      <c r="B97" s="5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8"/>
    </row>
    <row r="98" spans="2:37">
      <c r="B98" s="5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8"/>
    </row>
    <row r="99" spans="2:37">
      <c r="B99" s="5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8"/>
    </row>
    <row r="100" spans="2:37">
      <c r="B100" s="5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8"/>
    </row>
    <row r="101" spans="2:37">
      <c r="B101" s="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8"/>
    </row>
    <row r="102" spans="2:37">
      <c r="B102" s="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8"/>
    </row>
    <row r="103" spans="2:37">
      <c r="B103" s="5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8"/>
    </row>
    <row r="104" spans="2:37">
      <c r="B104" s="5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8"/>
    </row>
    <row r="105" spans="2:37">
      <c r="B105" s="5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8"/>
    </row>
    <row r="106" spans="2:37">
      <c r="B106" s="5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8"/>
    </row>
    <row r="107" spans="2:37">
      <c r="B107" s="5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8"/>
    </row>
    <row r="108" spans="2:37">
      <c r="B108" s="5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8"/>
    </row>
    <row r="109" spans="2:37">
      <c r="B109" s="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8"/>
    </row>
    <row r="110" spans="2:37">
      <c r="B110" s="5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8"/>
    </row>
    <row r="111" spans="2:37">
      <c r="B111" s="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8"/>
    </row>
    <row r="112" spans="2:37">
      <c r="B112" s="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8"/>
    </row>
    <row r="113" spans="2:37">
      <c r="B113" s="5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8"/>
    </row>
    <row r="114" spans="2:37">
      <c r="B114" s="5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8"/>
    </row>
    <row r="115" spans="2:37">
      <c r="B115" s="5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8"/>
    </row>
    <row r="116" spans="2:37">
      <c r="B116" s="5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8"/>
    </row>
    <row r="117" spans="2:37">
      <c r="B117" s="5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8"/>
    </row>
    <row r="118" spans="2:37">
      <c r="B118" s="5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8"/>
    </row>
    <row r="119" spans="2:37">
      <c r="B119" s="5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8"/>
    </row>
    <row r="120" spans="2:37">
      <c r="B120" s="5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8"/>
    </row>
    <row r="121" spans="2:37">
      <c r="B121" s="5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8"/>
    </row>
    <row r="122" spans="2:37">
      <c r="B122" s="5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8"/>
    </row>
    <row r="123" spans="2:37">
      <c r="B123" s="5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8"/>
    </row>
    <row r="124" spans="2:37">
      <c r="B124" s="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8"/>
    </row>
    <row r="125" spans="2:37">
      <c r="B125" s="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8"/>
    </row>
    <row r="126" spans="2:37">
      <c r="B126" s="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8"/>
    </row>
    <row r="127" spans="2:37">
      <c r="B127" s="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8"/>
    </row>
    <row r="128" spans="2:37">
      <c r="B128" s="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8"/>
    </row>
    <row r="129" spans="2:37">
      <c r="B129" s="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8"/>
    </row>
    <row r="130" spans="2:37">
      <c r="B130" s="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8"/>
    </row>
    <row r="131" spans="2:37">
      <c r="B131" s="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8"/>
    </row>
    <row r="132" spans="2:37">
      <c r="B132" s="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8"/>
    </row>
    <row r="133" spans="2:37">
      <c r="B133" s="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8"/>
    </row>
    <row r="134" spans="2:37">
      <c r="B134" s="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8"/>
    </row>
    <row r="135" spans="2:37">
      <c r="B135" s="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8"/>
    </row>
    <row r="136" spans="2:37">
      <c r="B136" s="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8"/>
    </row>
    <row r="137" spans="2:37">
      <c r="B137" s="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8"/>
    </row>
    <row r="138" spans="2:37" ht="29.1" customHeight="1" thickBot="1">
      <c r="B138" s="10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2"/>
    </row>
    <row r="141" spans="2:37" ht="15.95" thickBot="1"/>
    <row r="142" spans="2:37"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4"/>
    </row>
    <row r="143" spans="2:37" ht="36.950000000000003">
      <c r="B143" s="5"/>
      <c r="C143" s="6" t="s">
        <v>43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8"/>
    </row>
    <row r="144" spans="2:37">
      <c r="B144" s="5"/>
      <c r="C144" s="9" t="s">
        <v>45</v>
      </c>
      <c r="D144" s="9" t="s">
        <v>2</v>
      </c>
      <c r="E144" s="9" t="s">
        <v>3</v>
      </c>
      <c r="F144" s="9" t="s">
        <v>4</v>
      </c>
      <c r="G144" s="9" t="s">
        <v>5</v>
      </c>
      <c r="H144" s="9" t="s">
        <v>6</v>
      </c>
      <c r="I144" s="9" t="s">
        <v>7</v>
      </c>
      <c r="J144" s="7"/>
      <c r="K144" s="46" t="s">
        <v>45</v>
      </c>
      <c r="L144" s="46"/>
      <c r="M144" s="9" t="s">
        <v>2</v>
      </c>
      <c r="N144" s="9" t="s">
        <v>3</v>
      </c>
      <c r="O144" s="9" t="s">
        <v>4</v>
      </c>
      <c r="P144" s="9" t="s">
        <v>5</v>
      </c>
      <c r="Q144" s="9" t="s">
        <v>6</v>
      </c>
      <c r="R144" s="9" t="s">
        <v>7</v>
      </c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8"/>
    </row>
    <row r="145" spans="2:37">
      <c r="B145" s="5"/>
      <c r="C145" s="7" t="s">
        <v>46</v>
      </c>
      <c r="D145" s="7">
        <v>1</v>
      </c>
      <c r="E145" s="7">
        <f>$D146/E146</f>
        <v>1.9095449624180749</v>
      </c>
      <c r="F145" s="7">
        <f t="shared" ref="F145" si="25">$D146/F146</f>
        <v>3.7363695011594862</v>
      </c>
      <c r="G145" s="7">
        <f t="shared" ref="G145" si="26">$D146/G146</f>
        <v>7.1858223094076425</v>
      </c>
      <c r="H145" s="7">
        <f t="shared" ref="H145" si="27">$D146/H146</f>
        <v>5.4024782241494496</v>
      </c>
      <c r="I145" s="7">
        <f t="shared" ref="I145" si="28">$D146/I146</f>
        <v>7.8023666484616783</v>
      </c>
      <c r="J145" s="7"/>
      <c r="K145" s="47" t="s">
        <v>47</v>
      </c>
      <c r="L145" s="47"/>
      <c r="M145" s="7">
        <f t="shared" ref="M145:R145" si="29">(D145+D148+D151+D154)/4</f>
        <v>1</v>
      </c>
      <c r="N145" s="7">
        <f t="shared" si="29"/>
        <v>2.0196375383012697</v>
      </c>
      <c r="O145" s="7">
        <f t="shared" si="29"/>
        <v>4.0272075139344565</v>
      </c>
      <c r="P145" s="7">
        <f t="shared" si="29"/>
        <v>7.2066209076049406</v>
      </c>
      <c r="Q145" s="7">
        <f t="shared" si="29"/>
        <v>6.6624105434568914</v>
      </c>
      <c r="R145" s="7">
        <f t="shared" si="29"/>
        <v>7.6038798472428315</v>
      </c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8"/>
    </row>
    <row r="146" spans="2:37">
      <c r="B146" s="5"/>
      <c r="C146" s="7" t="s">
        <v>48</v>
      </c>
      <c r="D146" s="7">
        <f>'Información completa'!E107</f>
        <v>428584</v>
      </c>
      <c r="E146" s="7">
        <f>'Información completa'!F107</f>
        <v>224443</v>
      </c>
      <c r="F146" s="7">
        <f>'Información completa'!G107</f>
        <v>114706</v>
      </c>
      <c r="G146" s="7">
        <f>'Información completa'!H107</f>
        <v>59643</v>
      </c>
      <c r="H146" s="7">
        <f>'Información completa'!I107</f>
        <v>79331</v>
      </c>
      <c r="I146" s="7">
        <f>'Información completa'!J107</f>
        <v>54930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8"/>
    </row>
    <row r="147" spans="2:37">
      <c r="B147" s="5"/>
      <c r="C147" s="9" t="s">
        <v>45</v>
      </c>
      <c r="D147" s="9" t="s">
        <v>2</v>
      </c>
      <c r="E147" s="9" t="s">
        <v>3</v>
      </c>
      <c r="F147" s="9" t="s">
        <v>4</v>
      </c>
      <c r="G147" s="9" t="s">
        <v>5</v>
      </c>
      <c r="H147" s="9" t="s">
        <v>6</v>
      </c>
      <c r="I147" s="9" t="s">
        <v>7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8"/>
    </row>
    <row r="148" spans="2:37">
      <c r="B148" s="5"/>
      <c r="C148" s="7" t="s">
        <v>49</v>
      </c>
      <c r="D148" s="7">
        <v>1</v>
      </c>
      <c r="E148" s="7">
        <f>$D149/E149</f>
        <v>1.9278782575862414</v>
      </c>
      <c r="F148" s="7">
        <f t="shared" ref="F148" si="30">$D149/F149</f>
        <v>3.8057000019201328</v>
      </c>
      <c r="G148" s="7">
        <f t="shared" ref="G148" si="31">$D149/G149</f>
        <v>6.6872931498277719</v>
      </c>
      <c r="H148" s="7">
        <f t="shared" ref="H148" si="32">$D149/H149</f>
        <v>6.1752886260380908</v>
      </c>
      <c r="I148" s="7">
        <f>$D149/I149</f>
        <v>6.187723592810972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8"/>
    </row>
    <row r="149" spans="2:37">
      <c r="B149" s="5"/>
      <c r="C149" s="7" t="s">
        <v>50</v>
      </c>
      <c r="D149" s="7">
        <f>'Información completa'!M107</f>
        <v>4360396</v>
      </c>
      <c r="E149" s="7">
        <f>'Información completa'!N107</f>
        <v>2261759</v>
      </c>
      <c r="F149" s="7">
        <f>'Información completa'!O107</f>
        <v>1145754</v>
      </c>
      <c r="G149" s="7">
        <f>'Información completa'!P107</f>
        <v>652042</v>
      </c>
      <c r="H149" s="7">
        <f>'Información completa'!Q107</f>
        <v>706104</v>
      </c>
      <c r="I149" s="7">
        <f>'Información completa'!R107</f>
        <v>704685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8"/>
    </row>
    <row r="150" spans="2:37">
      <c r="B150" s="5"/>
      <c r="C150" s="9" t="s">
        <v>45</v>
      </c>
      <c r="D150" s="9" t="s">
        <v>2</v>
      </c>
      <c r="E150" s="9" t="s">
        <v>3</v>
      </c>
      <c r="F150" s="9" t="s">
        <v>4</v>
      </c>
      <c r="G150" s="9" t="s">
        <v>5</v>
      </c>
      <c r="H150" s="9" t="s">
        <v>6</v>
      </c>
      <c r="I150" s="9" t="s">
        <v>7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8"/>
    </row>
    <row r="151" spans="2:37">
      <c r="B151" s="5"/>
      <c r="C151" s="7" t="s">
        <v>51</v>
      </c>
      <c r="D151" s="7">
        <v>1</v>
      </c>
      <c r="E151" s="7">
        <f>$D152/E152</f>
        <v>1.9939644712762223</v>
      </c>
      <c r="F151" s="7">
        <f t="shared" ref="F151" si="33">$D152/F152</f>
        <v>4.0790173563227574</v>
      </c>
      <c r="G151" s="7">
        <f t="shared" ref="G151" si="34">$D152/G152</f>
        <v>7.1761134835010303</v>
      </c>
      <c r="H151" s="7">
        <f t="shared" ref="H151" si="35">$D152/H152</f>
        <v>7.2355677547794315</v>
      </c>
      <c r="I151" s="7">
        <f>$D152/I152</f>
        <v>8.4398461696825144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8"/>
    </row>
    <row r="152" spans="2:37">
      <c r="B152" s="5"/>
      <c r="C152" s="7" t="s">
        <v>52</v>
      </c>
      <c r="D152" s="7">
        <f>'Información completa'!U107</f>
        <v>60263329</v>
      </c>
      <c r="E152" s="7">
        <f>'Información completa'!V107</f>
        <v>30222870</v>
      </c>
      <c r="F152" s="7">
        <f>'Información completa'!W107</f>
        <v>14773982</v>
      </c>
      <c r="G152" s="7">
        <f>'Información completa'!X107</f>
        <v>8397767</v>
      </c>
      <c r="H152" s="7">
        <f>'Información completa'!Y107</f>
        <v>8328763</v>
      </c>
      <c r="I152" s="7">
        <f>'Información completa'!Z107</f>
        <v>7140335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8"/>
    </row>
    <row r="153" spans="2:37">
      <c r="B153" s="5"/>
      <c r="C153" s="9" t="s">
        <v>45</v>
      </c>
      <c r="D153" s="9" t="s">
        <v>2</v>
      </c>
      <c r="E153" s="9" t="s">
        <v>3</v>
      </c>
      <c r="F153" s="9" t="s">
        <v>4</v>
      </c>
      <c r="G153" s="9" t="s">
        <v>5</v>
      </c>
      <c r="H153" s="9" t="s">
        <v>6</v>
      </c>
      <c r="I153" s="9" t="s">
        <v>7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8"/>
    </row>
    <row r="154" spans="2:37">
      <c r="B154" s="5"/>
      <c r="C154" s="7" t="s">
        <v>53</v>
      </c>
      <c r="D154" s="7">
        <v>1</v>
      </c>
      <c r="E154" s="7">
        <f>$D155/E155</f>
        <v>2.2471624619245389</v>
      </c>
      <c r="F154" s="7">
        <f t="shared" ref="F154" si="36">$D155/F155</f>
        <v>4.4877431963354493</v>
      </c>
      <c r="G154" s="7">
        <f t="shared" ref="G154" si="37">$D155/G155</f>
        <v>7.7772546876833184</v>
      </c>
      <c r="H154" s="7">
        <f t="shared" ref="H154" si="38">$D155/H155</f>
        <v>7.8363075688605921</v>
      </c>
      <c r="I154" s="7">
        <f>$D155/I155</f>
        <v>7.9855829780161613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8"/>
    </row>
    <row r="155" spans="2:37">
      <c r="B155" s="5"/>
      <c r="C155" s="7" t="s">
        <v>54</v>
      </c>
      <c r="D155" s="7">
        <f>'Información completa'!AC107</f>
        <v>606742750</v>
      </c>
      <c r="E155" s="7">
        <f>'Información completa'!AD107</f>
        <v>270003954</v>
      </c>
      <c r="F155" s="7">
        <f>'Información completa'!AE107</f>
        <v>135199971</v>
      </c>
      <c r="G155" s="7">
        <f>'Información completa'!AF107</f>
        <v>78015029</v>
      </c>
      <c r="H155" s="7">
        <f>'Información completa'!AG107</f>
        <v>77427123</v>
      </c>
      <c r="I155" s="7">
        <f>'Información completa'!AH107</f>
        <v>75979769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8"/>
    </row>
    <row r="156" spans="2:37">
      <c r="B156" s="5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8"/>
    </row>
    <row r="157" spans="2:37">
      <c r="B157" s="5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8"/>
    </row>
    <row r="158" spans="2:37">
      <c r="B158" s="5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8"/>
    </row>
    <row r="159" spans="2:37">
      <c r="B159" s="5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8"/>
    </row>
    <row r="160" spans="2:37">
      <c r="B160" s="5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8"/>
    </row>
    <row r="161" spans="2:37">
      <c r="B161" s="5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8"/>
    </row>
    <row r="162" spans="2:37">
      <c r="B162" s="5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8"/>
    </row>
    <row r="163" spans="2:37">
      <c r="B163" s="5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8"/>
    </row>
    <row r="164" spans="2:37">
      <c r="B164" s="5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8"/>
    </row>
    <row r="165" spans="2:37">
      <c r="B165" s="5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8"/>
    </row>
    <row r="166" spans="2:37">
      <c r="B166" s="5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8"/>
    </row>
    <row r="167" spans="2:37">
      <c r="B167" s="5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8"/>
    </row>
    <row r="168" spans="2:37">
      <c r="B168" s="5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8"/>
    </row>
    <row r="169" spans="2:37">
      <c r="B169" s="5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8"/>
    </row>
    <row r="170" spans="2:37">
      <c r="B170" s="5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8"/>
    </row>
    <row r="171" spans="2:37">
      <c r="B171" s="5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8"/>
    </row>
    <row r="172" spans="2:37">
      <c r="B172" s="5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8"/>
    </row>
    <row r="173" spans="2:37">
      <c r="B173" s="5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8"/>
    </row>
    <row r="174" spans="2:37">
      <c r="B174" s="5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8"/>
    </row>
    <row r="175" spans="2:37">
      <c r="B175" s="5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8"/>
    </row>
    <row r="176" spans="2:37">
      <c r="B176" s="5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8"/>
    </row>
    <row r="177" spans="2:37">
      <c r="B177" s="5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8"/>
    </row>
    <row r="178" spans="2:37">
      <c r="B178" s="5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8"/>
    </row>
    <row r="179" spans="2:37">
      <c r="B179" s="5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8"/>
    </row>
    <row r="180" spans="2:37">
      <c r="B180" s="5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8"/>
    </row>
    <row r="181" spans="2:37">
      <c r="B181" s="5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8"/>
    </row>
    <row r="182" spans="2:37">
      <c r="B182" s="5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8"/>
    </row>
    <row r="183" spans="2:37">
      <c r="B183" s="5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8"/>
    </row>
    <row r="184" spans="2:37">
      <c r="B184" s="5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8"/>
    </row>
    <row r="185" spans="2:37">
      <c r="B185" s="5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8"/>
    </row>
    <row r="186" spans="2:37">
      <c r="B186" s="5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8"/>
    </row>
    <row r="187" spans="2:37">
      <c r="B187" s="5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8"/>
    </row>
    <row r="188" spans="2:37">
      <c r="B188" s="5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8"/>
    </row>
    <row r="189" spans="2:37">
      <c r="B189" s="5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8"/>
    </row>
    <row r="190" spans="2:37">
      <c r="B190" s="5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8"/>
    </row>
    <row r="191" spans="2:37">
      <c r="B191" s="5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8"/>
    </row>
    <row r="192" spans="2:37">
      <c r="B192" s="5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8"/>
    </row>
    <row r="193" spans="2:37">
      <c r="B193" s="5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8"/>
    </row>
    <row r="194" spans="2:37">
      <c r="B194" s="5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8"/>
    </row>
    <row r="195" spans="2:37">
      <c r="B195" s="5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8"/>
    </row>
    <row r="196" spans="2:37">
      <c r="B196" s="5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8"/>
    </row>
    <row r="197" spans="2:37">
      <c r="B197" s="5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8"/>
    </row>
    <row r="198" spans="2:37">
      <c r="B198" s="5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8"/>
    </row>
    <row r="199" spans="2:37">
      <c r="B199" s="5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8"/>
    </row>
    <row r="200" spans="2:37">
      <c r="B200" s="5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8"/>
    </row>
    <row r="201" spans="2:37">
      <c r="B201" s="5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8"/>
    </row>
    <row r="202" spans="2:37">
      <c r="B202" s="5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8"/>
    </row>
    <row r="203" spans="2:37">
      <c r="B203" s="5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8"/>
    </row>
    <row r="204" spans="2:37">
      <c r="B204" s="5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8"/>
    </row>
    <row r="205" spans="2:37">
      <c r="B205" s="5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8"/>
    </row>
    <row r="206" spans="2:37" ht="30.6" customHeight="1" thickBot="1">
      <c r="B206" s="10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2"/>
    </row>
    <row r="209" spans="2:37" ht="15.95" thickBot="1"/>
    <row r="210" spans="2:37"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4"/>
    </row>
    <row r="211" spans="2:37" ht="36.950000000000003">
      <c r="B211" s="5"/>
      <c r="C211" s="6" t="s">
        <v>44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8"/>
    </row>
    <row r="212" spans="2:37">
      <c r="B212" s="5"/>
      <c r="C212" s="9" t="s">
        <v>45</v>
      </c>
      <c r="D212" s="9" t="s">
        <v>2</v>
      </c>
      <c r="E212" s="9" t="s">
        <v>3</v>
      </c>
      <c r="F212" s="9" t="s">
        <v>4</v>
      </c>
      <c r="G212" s="9" t="s">
        <v>5</v>
      </c>
      <c r="H212" s="9" t="s">
        <v>6</v>
      </c>
      <c r="I212" s="9" t="s">
        <v>7</v>
      </c>
      <c r="J212" s="7"/>
      <c r="K212" s="46" t="s">
        <v>45</v>
      </c>
      <c r="L212" s="46"/>
      <c r="M212" s="9" t="s">
        <v>2</v>
      </c>
      <c r="N212" s="9" t="s">
        <v>3</v>
      </c>
      <c r="O212" s="9" t="s">
        <v>4</v>
      </c>
      <c r="P212" s="9" t="s">
        <v>5</v>
      </c>
      <c r="Q212" s="9" t="s">
        <v>6</v>
      </c>
      <c r="R212" s="9" t="s">
        <v>7</v>
      </c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8"/>
    </row>
    <row r="213" spans="2:37">
      <c r="B213" s="5"/>
      <c r="C213" s="7" t="s">
        <v>46</v>
      </c>
      <c r="D213" s="7">
        <v>1</v>
      </c>
      <c r="E213" s="7">
        <f>$D214/E214</f>
        <v>1.9486039777399096</v>
      </c>
      <c r="F213" s="7">
        <f t="shared" ref="F213" si="39">$D214/F214</f>
        <v>3.7450701967340767</v>
      </c>
      <c r="G213" s="7">
        <f t="shared" ref="G213" si="40">$D214/G214</f>
        <v>7.2708314806580701</v>
      </c>
      <c r="H213" s="7">
        <f t="shared" ref="H213" si="41">$D214/H214</f>
        <v>10.324599065538578</v>
      </c>
      <c r="I213" s="7">
        <f t="shared" ref="I213" si="42">$D214/I214</f>
        <v>11.3257376367918</v>
      </c>
      <c r="J213" s="7"/>
      <c r="K213" s="47" t="s">
        <v>47</v>
      </c>
      <c r="L213" s="47"/>
      <c r="M213" s="7">
        <f t="shared" ref="M213:R213" si="43">(D213+D216+D219+D222)/4</f>
        <v>1</v>
      </c>
      <c r="N213" s="7">
        <f t="shared" si="43"/>
        <v>1.9460808089342876</v>
      </c>
      <c r="O213" s="7">
        <f t="shared" si="43"/>
        <v>3.8211642895512004</v>
      </c>
      <c r="P213" s="7">
        <f t="shared" si="43"/>
        <v>7.0153185447132564</v>
      </c>
      <c r="Q213" s="7">
        <f t="shared" si="43"/>
        <v>9.8782920618940739</v>
      </c>
      <c r="R213" s="7">
        <f t="shared" si="43"/>
        <v>10.30489790574987</v>
      </c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8"/>
    </row>
    <row r="214" spans="2:37">
      <c r="B214" s="5"/>
      <c r="C214" s="7" t="s">
        <v>48</v>
      </c>
      <c r="D214" s="7">
        <f>'Información completa'!E143</f>
        <v>163521</v>
      </c>
      <c r="E214" s="7">
        <f>'Información completa'!F143</f>
        <v>83917</v>
      </c>
      <c r="F214" s="7">
        <f>'Información completa'!G143</f>
        <v>43663</v>
      </c>
      <c r="G214" s="7">
        <f>'Información completa'!H143</f>
        <v>22490</v>
      </c>
      <c r="H214" s="7">
        <f>'Información completa'!I143</f>
        <v>15838</v>
      </c>
      <c r="I214" s="7">
        <f>'Información completa'!J143</f>
        <v>14438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8"/>
    </row>
    <row r="215" spans="2:37">
      <c r="B215" s="5"/>
      <c r="C215" s="9" t="s">
        <v>45</v>
      </c>
      <c r="D215" s="9" t="s">
        <v>2</v>
      </c>
      <c r="E215" s="9" t="s">
        <v>3</v>
      </c>
      <c r="F215" s="9" t="s">
        <v>4</v>
      </c>
      <c r="G215" s="9" t="s">
        <v>5</v>
      </c>
      <c r="H215" s="9" t="s">
        <v>6</v>
      </c>
      <c r="I215" s="9" t="s">
        <v>7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8"/>
    </row>
    <row r="216" spans="2:37">
      <c r="B216" s="5"/>
      <c r="C216" s="7" t="s">
        <v>49</v>
      </c>
      <c r="D216" s="7">
        <v>1</v>
      </c>
      <c r="E216" s="7">
        <f>$D217/E217</f>
        <v>1.9499866955289786</v>
      </c>
      <c r="F216" s="7">
        <f t="shared" ref="F216" si="44">$D217/F217</f>
        <v>3.8344043080334416</v>
      </c>
      <c r="G216" s="7">
        <f t="shared" ref="G216" si="45">$D217/G217</f>
        <v>6.8819537155010941</v>
      </c>
      <c r="H216" s="7">
        <f t="shared" ref="H216" si="46">$D217/H217</f>
        <v>9.7103382085404455</v>
      </c>
      <c r="I216" s="7">
        <f>$D217/I217</f>
        <v>13.486977974970653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8"/>
    </row>
    <row r="217" spans="2:37">
      <c r="B217" s="5"/>
      <c r="C217" s="7" t="s">
        <v>50</v>
      </c>
      <c r="D217" s="7">
        <f>'Información completa'!M143</f>
        <v>1355738</v>
      </c>
      <c r="E217" s="7">
        <f>'Información completa'!N143</f>
        <v>695255</v>
      </c>
      <c r="F217" s="7">
        <f>'Información completa'!O143</f>
        <v>353572</v>
      </c>
      <c r="G217" s="7">
        <f>'Información completa'!P143</f>
        <v>196999</v>
      </c>
      <c r="H217" s="7">
        <f>'Información completa'!Q143</f>
        <v>139618</v>
      </c>
      <c r="I217" s="7">
        <f>'Información completa'!R143</f>
        <v>100522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8"/>
    </row>
    <row r="218" spans="2:37">
      <c r="B218" s="5"/>
      <c r="C218" s="9" t="s">
        <v>45</v>
      </c>
      <c r="D218" s="9" t="s">
        <v>2</v>
      </c>
      <c r="E218" s="9" t="s">
        <v>3</v>
      </c>
      <c r="F218" s="9" t="s">
        <v>4</v>
      </c>
      <c r="G218" s="9" t="s">
        <v>5</v>
      </c>
      <c r="H218" s="9" t="s">
        <v>6</v>
      </c>
      <c r="I218" s="9" t="s">
        <v>7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8"/>
    </row>
    <row r="219" spans="2:37">
      <c r="B219" s="5"/>
      <c r="C219" s="7" t="s">
        <v>51</v>
      </c>
      <c r="D219" s="7">
        <v>1</v>
      </c>
      <c r="E219" s="7">
        <f>$D220/E220</f>
        <v>1.9401542860009675</v>
      </c>
      <c r="F219" s="7">
        <f t="shared" ref="F219" si="47">$D220/F220</f>
        <v>3.8319447732333574</v>
      </c>
      <c r="G219" s="7">
        <f t="shared" ref="G219" si="48">$D220/G220</f>
        <v>6.9455325385866766</v>
      </c>
      <c r="H219" s="7">
        <f t="shared" ref="H219" si="49">$D220/H220</f>
        <v>9.707900049318301</v>
      </c>
      <c r="I219" s="7">
        <f>$D220/I220</f>
        <v>11.018354717395985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8"/>
    </row>
    <row r="220" spans="2:37">
      <c r="B220" s="5"/>
      <c r="C220" s="7" t="s">
        <v>52</v>
      </c>
      <c r="D220" s="7">
        <f>'Información completa'!U143</f>
        <v>12027030</v>
      </c>
      <c r="E220" s="7">
        <f>'Información completa'!V143</f>
        <v>6199007</v>
      </c>
      <c r="F220" s="7">
        <f>'Información completa'!W143</f>
        <v>3138623</v>
      </c>
      <c r="G220" s="7">
        <f>'Información completa'!X143</f>
        <v>1731621</v>
      </c>
      <c r="H220" s="7">
        <f>'Información completa'!Y143</f>
        <v>1238891</v>
      </c>
      <c r="I220" s="7">
        <f>'Información completa'!Z143</f>
        <v>1091545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8"/>
    </row>
    <row r="221" spans="2:37">
      <c r="B221" s="5"/>
      <c r="C221" s="9" t="s">
        <v>45</v>
      </c>
      <c r="D221" s="9" t="s">
        <v>2</v>
      </c>
      <c r="E221" s="9" t="s">
        <v>3</v>
      </c>
      <c r="F221" s="9" t="s">
        <v>4</v>
      </c>
      <c r="G221" s="9" t="s">
        <v>5</v>
      </c>
      <c r="H221" s="9" t="s">
        <v>6</v>
      </c>
      <c r="I221" s="9" t="s">
        <v>7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8"/>
    </row>
    <row r="222" spans="2:37">
      <c r="B222" s="5"/>
      <c r="C222" s="7" t="s">
        <v>53</v>
      </c>
      <c r="D222" s="7">
        <v>1</v>
      </c>
      <c r="E222" s="7">
        <f>$D223/E223</f>
        <v>1.9455782764672946</v>
      </c>
      <c r="F222" s="7">
        <f t="shared" ref="F222" si="50">$D223/F223</f>
        <v>3.8732378802039276</v>
      </c>
      <c r="G222" s="7">
        <f t="shared" ref="G222" si="51">$D223/G223</f>
        <v>6.9629564441071832</v>
      </c>
      <c r="H222" s="7">
        <f t="shared" ref="H222" si="52">$D223/H223</f>
        <v>9.7703309241789711</v>
      </c>
      <c r="I222" s="7">
        <f>$D223/I223</f>
        <v>5.3885212938410447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8"/>
    </row>
    <row r="223" spans="2:37">
      <c r="B223" s="5"/>
      <c r="C223" s="7" t="s">
        <v>54</v>
      </c>
      <c r="D223" s="7">
        <f>'Información completa'!AC143</f>
        <v>99612598</v>
      </c>
      <c r="E223" s="7">
        <f>'Información completa'!AD143</f>
        <v>51199481</v>
      </c>
      <c r="F223" s="7">
        <f>'Información completa'!AE143</f>
        <v>25718172</v>
      </c>
      <c r="G223" s="7">
        <f>'Información completa'!AF143</f>
        <v>14306078</v>
      </c>
      <c r="H223" s="7">
        <f>'Información completa'!AG143</f>
        <v>10195417</v>
      </c>
      <c r="I223" s="7">
        <f>'Información completa'!AH143</f>
        <v>18486073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8"/>
    </row>
    <row r="224" spans="2:37">
      <c r="B224" s="5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8"/>
    </row>
    <row r="225" spans="2:37">
      <c r="B225" s="5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8"/>
    </row>
    <row r="226" spans="2:37">
      <c r="B226" s="5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8"/>
    </row>
    <row r="227" spans="2:37">
      <c r="B227" s="5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8"/>
    </row>
    <row r="228" spans="2:37">
      <c r="B228" s="5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8"/>
    </row>
    <row r="229" spans="2:37">
      <c r="B229" s="5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8"/>
    </row>
    <row r="230" spans="2:37">
      <c r="B230" s="5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8"/>
    </row>
    <row r="231" spans="2:37">
      <c r="B231" s="5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8"/>
    </row>
    <row r="232" spans="2:37">
      <c r="B232" s="5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8"/>
    </row>
    <row r="233" spans="2:37">
      <c r="B233" s="5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8"/>
    </row>
    <row r="234" spans="2:37">
      <c r="B234" s="5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8"/>
    </row>
    <row r="235" spans="2:37">
      <c r="B235" s="5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8"/>
    </row>
    <row r="236" spans="2:37">
      <c r="B236" s="5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8"/>
    </row>
    <row r="237" spans="2:37">
      <c r="B237" s="5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8"/>
    </row>
    <row r="238" spans="2:37">
      <c r="B238" s="5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8"/>
    </row>
    <row r="239" spans="2:37">
      <c r="B239" s="5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8"/>
    </row>
    <row r="240" spans="2:37">
      <c r="B240" s="5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8"/>
    </row>
    <row r="241" spans="2:37">
      <c r="B241" s="5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8"/>
    </row>
    <row r="242" spans="2:37">
      <c r="B242" s="5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8"/>
    </row>
    <row r="243" spans="2:37">
      <c r="B243" s="5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8"/>
    </row>
    <row r="244" spans="2:37">
      <c r="B244" s="5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8"/>
    </row>
    <row r="245" spans="2:37">
      <c r="B245" s="5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8"/>
    </row>
    <row r="246" spans="2:37">
      <c r="B246" s="5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8"/>
    </row>
    <row r="247" spans="2:37">
      <c r="B247" s="5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8"/>
    </row>
    <row r="248" spans="2:37">
      <c r="B248" s="5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8"/>
    </row>
    <row r="249" spans="2:37">
      <c r="B249" s="5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8"/>
    </row>
    <row r="250" spans="2:37">
      <c r="B250" s="5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8"/>
    </row>
    <row r="251" spans="2:37">
      <c r="B251" s="5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8"/>
    </row>
    <row r="252" spans="2:37">
      <c r="B252" s="5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8"/>
    </row>
    <row r="253" spans="2:37">
      <c r="B253" s="5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8"/>
    </row>
    <row r="254" spans="2:37">
      <c r="B254" s="5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8"/>
    </row>
    <row r="255" spans="2:37">
      <c r="B255" s="5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8"/>
    </row>
    <row r="256" spans="2:37">
      <c r="B256" s="5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8"/>
    </row>
    <row r="257" spans="2:37">
      <c r="B257" s="5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8"/>
    </row>
    <row r="258" spans="2:37">
      <c r="B258" s="5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8"/>
    </row>
    <row r="259" spans="2:37">
      <c r="B259" s="5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8"/>
    </row>
    <row r="260" spans="2:37">
      <c r="B260" s="5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8"/>
    </row>
    <row r="261" spans="2:37">
      <c r="B261" s="5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8"/>
    </row>
    <row r="262" spans="2:37">
      <c r="B262" s="5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8"/>
    </row>
    <row r="263" spans="2:37">
      <c r="B263" s="5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8"/>
    </row>
    <row r="264" spans="2:37">
      <c r="B264" s="5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8"/>
    </row>
    <row r="265" spans="2:37">
      <c r="B265" s="5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8"/>
    </row>
    <row r="266" spans="2:37">
      <c r="B266" s="5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8"/>
    </row>
    <row r="267" spans="2:37">
      <c r="B267" s="5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8"/>
    </row>
    <row r="268" spans="2:37">
      <c r="B268" s="5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8"/>
    </row>
    <row r="269" spans="2:37">
      <c r="B269" s="5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8"/>
    </row>
    <row r="270" spans="2:37">
      <c r="B270" s="5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8"/>
    </row>
    <row r="271" spans="2:37">
      <c r="B271" s="5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8"/>
    </row>
    <row r="272" spans="2:37">
      <c r="B272" s="5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8"/>
    </row>
    <row r="273" spans="2:37">
      <c r="B273" s="5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8"/>
    </row>
    <row r="274" spans="2:37" ht="29.1" customHeight="1" thickBot="1">
      <c r="B274" s="10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2"/>
    </row>
  </sheetData>
  <mergeCells count="8">
    <mergeCell ref="K212:L212"/>
    <mergeCell ref="K213:L213"/>
    <mergeCell ref="K8:L8"/>
    <mergeCell ref="K9:L9"/>
    <mergeCell ref="K76:L76"/>
    <mergeCell ref="K77:L77"/>
    <mergeCell ref="K144:L144"/>
    <mergeCell ref="K145:L14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6CEE-D70F-4769-AFEA-1E86F20829F9}">
  <dimension ref="B2:O151"/>
  <sheetViews>
    <sheetView topLeftCell="A116" zoomScale="118" zoomScaleNormal="70" workbookViewId="0">
      <selection activeCell="J115" sqref="J115"/>
    </sheetView>
  </sheetViews>
  <sheetFormatPr defaultColWidth="11.42578125" defaultRowHeight="15"/>
  <cols>
    <col min="1" max="1" width="10.85546875" customWidth="1"/>
    <col min="2" max="2" width="2.7109375" customWidth="1"/>
    <col min="3" max="3" width="19.85546875" customWidth="1"/>
    <col min="4" max="4" width="21.85546875" customWidth="1"/>
    <col min="15" max="15" width="2.7109375" customWidth="1"/>
  </cols>
  <sheetData>
    <row r="2" spans="2:15" ht="15.95" thickBot="1"/>
    <row r="3" spans="2:15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2:15" ht="36.950000000000003">
      <c r="B4" s="5"/>
      <c r="C4" s="7"/>
      <c r="D4" s="6" t="s">
        <v>55</v>
      </c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spans="2:15">
      <c r="B5" s="5"/>
      <c r="C5" s="13"/>
      <c r="D5" s="9" t="str" cm="1">
        <f t="array" ref="D5:J5">'Gráficas SpeedUp'!C8:I8</f>
        <v># Hilos</v>
      </c>
      <c r="E5" s="9" t="str">
        <v>1 hilo</v>
      </c>
      <c r="F5" s="9" t="str">
        <v>2 hilos</v>
      </c>
      <c r="G5" s="9" t="str">
        <v>4 hilos</v>
      </c>
      <c r="H5" s="9" t="str">
        <v>8 hilos</v>
      </c>
      <c r="I5" s="9" t="str">
        <v>12 hilos</v>
      </c>
      <c r="J5" s="9" t="str">
        <v>32 hilos</v>
      </c>
      <c r="K5" s="7"/>
      <c r="L5" s="7"/>
      <c r="M5" s="7"/>
      <c r="N5" s="7"/>
      <c r="O5" s="8"/>
    </row>
    <row r="6" spans="2:15" ht="14.45" customHeight="1">
      <c r="B6" s="5"/>
      <c r="C6" s="48" t="s">
        <v>56</v>
      </c>
      <c r="D6" s="14" t="s">
        <v>57</v>
      </c>
      <c r="E6" s="7" cm="1">
        <f t="array" ref="E6:J6">'Gráficas SpeedUp'!D10:I10</f>
        <v>428369</v>
      </c>
      <c r="F6" s="7">
        <v>224246</v>
      </c>
      <c r="G6" s="7">
        <v>114413</v>
      </c>
      <c r="H6" s="7">
        <v>59918</v>
      </c>
      <c r="I6" s="7">
        <v>77015</v>
      </c>
      <c r="J6" s="7">
        <v>64131</v>
      </c>
      <c r="K6" s="7"/>
      <c r="L6" s="7"/>
      <c r="M6" s="7"/>
      <c r="N6" s="7"/>
      <c r="O6" s="8"/>
    </row>
    <row r="7" spans="2:15">
      <c r="B7" s="5"/>
      <c r="C7" s="48"/>
      <c r="D7" s="14" t="s">
        <v>58</v>
      </c>
      <c r="E7" s="7" cm="1">
        <f t="array" ref="E7:J7">'Gráficas SpeedUp'!D78:I78</f>
        <v>171237</v>
      </c>
      <c r="F7" s="7">
        <v>88549</v>
      </c>
      <c r="G7" s="7">
        <v>45627</v>
      </c>
      <c r="H7" s="7">
        <v>23735</v>
      </c>
      <c r="I7" s="7">
        <v>17595</v>
      </c>
      <c r="J7" s="7">
        <v>17716</v>
      </c>
      <c r="K7" s="7"/>
      <c r="L7" s="7"/>
      <c r="M7" s="7"/>
      <c r="N7" s="7"/>
      <c r="O7" s="8"/>
    </row>
    <row r="8" spans="2:15">
      <c r="B8" s="5"/>
      <c r="C8" s="48"/>
      <c r="D8" s="14" t="s">
        <v>59</v>
      </c>
      <c r="E8" s="7" cm="1">
        <f t="array" ref="E8:J8">'Gráficas SpeedUp'!D146:I146</f>
        <v>428584</v>
      </c>
      <c r="F8" s="7">
        <v>224443</v>
      </c>
      <c r="G8" s="7">
        <v>114706</v>
      </c>
      <c r="H8" s="7">
        <v>59643</v>
      </c>
      <c r="I8" s="7">
        <v>79331</v>
      </c>
      <c r="J8" s="7">
        <v>54930</v>
      </c>
      <c r="K8" s="7"/>
      <c r="L8" s="7"/>
      <c r="M8" s="7"/>
      <c r="N8" s="7"/>
      <c r="O8" s="8"/>
    </row>
    <row r="9" spans="2:15">
      <c r="B9" s="5"/>
      <c r="C9" s="48"/>
      <c r="D9" s="14" t="s">
        <v>60</v>
      </c>
      <c r="E9" s="7" cm="1">
        <f t="array" ref="E9:J9">'Gráficas SpeedUp'!D214:I214</f>
        <v>163521</v>
      </c>
      <c r="F9" s="7">
        <v>83917</v>
      </c>
      <c r="G9" s="7">
        <v>43663</v>
      </c>
      <c r="H9" s="7">
        <v>22490</v>
      </c>
      <c r="I9" s="7">
        <v>15838</v>
      </c>
      <c r="J9" s="7">
        <v>14438</v>
      </c>
      <c r="K9" s="7"/>
      <c r="L9" s="7"/>
      <c r="M9" s="7"/>
      <c r="N9" s="7"/>
      <c r="O9" s="8"/>
    </row>
    <row r="10" spans="2:15">
      <c r="B10" s="5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</row>
    <row r="11" spans="2:15"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2:15">
      <c r="B12" s="5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</row>
    <row r="13" spans="2:15">
      <c r="B13" s="5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</row>
    <row r="14" spans="2:15">
      <c r="B14" s="5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</row>
    <row r="15" spans="2:15">
      <c r="B15" s="5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</row>
    <row r="16" spans="2:15">
      <c r="B16" s="5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</row>
    <row r="17" spans="2:15">
      <c r="B17" s="5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</row>
    <row r="18" spans="2:15">
      <c r="B18" s="5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</row>
    <row r="19" spans="2:15">
      <c r="B19" s="5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</row>
    <row r="20" spans="2:15">
      <c r="B20" s="5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</row>
    <row r="21" spans="2:15">
      <c r="B21" s="5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</row>
    <row r="22" spans="2:15">
      <c r="B22" s="5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8"/>
    </row>
    <row r="23" spans="2:15">
      <c r="B23" s="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8"/>
    </row>
    <row r="24" spans="2:15">
      <c r="B24" s="5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</row>
    <row r="25" spans="2:1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/>
    </row>
    <row r="26" spans="2:15">
      <c r="B26" s="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/>
    </row>
    <row r="27" spans="2:1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/>
    </row>
    <row r="28" spans="2:1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</row>
    <row r="29" spans="2:15">
      <c r="B29" s="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</row>
    <row r="30" spans="2:15">
      <c r="B30" s="5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</row>
    <row r="31" spans="2:1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/>
    </row>
    <row r="32" spans="2:15">
      <c r="B32" s="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/>
    </row>
    <row r="33" spans="2:15">
      <c r="B33" s="5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8"/>
    </row>
    <row r="34" spans="2:15">
      <c r="B34" s="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/>
    </row>
    <row r="35" spans="2:15"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/>
    </row>
    <row r="36" spans="2:15">
      <c r="B36" s="5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/>
    </row>
    <row r="37" spans="2:15" ht="15.95" thickBot="1"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2"/>
    </row>
    <row r="40" spans="2:15" ht="15.95" thickBot="1"/>
    <row r="41" spans="2:15"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4"/>
    </row>
    <row r="42" spans="2:15" ht="36.950000000000003">
      <c r="B42" s="5"/>
      <c r="C42" s="7"/>
      <c r="D42" s="6" t="s">
        <v>61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8"/>
    </row>
    <row r="43" spans="2:15">
      <c r="B43" s="5"/>
      <c r="C43" s="13"/>
      <c r="D43" s="9" t="str" cm="1">
        <f t="array" ref="D43:J43">'Gráficas SpeedUp'!C76:I76</f>
        <v># Hilos</v>
      </c>
      <c r="E43" s="9" t="str">
        <v>1 hilo</v>
      </c>
      <c r="F43" s="9" t="str">
        <v>2 hilos</v>
      </c>
      <c r="G43" s="9" t="str">
        <v>4 hilos</v>
      </c>
      <c r="H43" s="9" t="str">
        <v>8 hilos</v>
      </c>
      <c r="I43" s="9" t="str">
        <v>12 hilos</v>
      </c>
      <c r="J43" s="9" t="str">
        <v>32 hilos</v>
      </c>
      <c r="K43" s="7"/>
      <c r="L43" s="7"/>
      <c r="M43" s="7"/>
      <c r="N43" s="7"/>
      <c r="O43" s="8"/>
    </row>
    <row r="44" spans="2:15" ht="14.45" customHeight="1">
      <c r="B44" s="5"/>
      <c r="C44" s="48" t="s">
        <v>56</v>
      </c>
      <c r="D44" s="14" t="s">
        <v>57</v>
      </c>
      <c r="E44" s="7" cm="1">
        <f t="array" ref="E44:J44">'Gráficas SpeedUp'!D13:I13</f>
        <v>4334222</v>
      </c>
      <c r="F44" s="7">
        <v>2246974</v>
      </c>
      <c r="G44" s="7">
        <v>1133772</v>
      </c>
      <c r="H44" s="7">
        <v>652953</v>
      </c>
      <c r="I44" s="7">
        <v>718820</v>
      </c>
      <c r="J44" s="7">
        <v>755926</v>
      </c>
      <c r="K44" s="7"/>
      <c r="L44" s="7"/>
      <c r="M44" s="7"/>
      <c r="N44" s="7"/>
      <c r="O44" s="8"/>
    </row>
    <row r="45" spans="2:15">
      <c r="B45" s="5"/>
      <c r="C45" s="48"/>
      <c r="D45" s="14" t="s">
        <v>58</v>
      </c>
      <c r="E45" s="7" cm="1">
        <f t="array" ref="E45:J45">'Gráficas SpeedUp'!D81:I81</f>
        <v>1501673</v>
      </c>
      <c r="F45" s="7">
        <v>780378</v>
      </c>
      <c r="G45" s="7">
        <v>392411</v>
      </c>
      <c r="H45" s="7">
        <v>222592</v>
      </c>
      <c r="I45" s="7">
        <v>326072</v>
      </c>
      <c r="J45" s="7">
        <v>637842</v>
      </c>
      <c r="K45" s="7"/>
      <c r="L45" s="7"/>
      <c r="M45" s="7"/>
      <c r="N45" s="7"/>
      <c r="O45" s="8"/>
    </row>
    <row r="46" spans="2:15">
      <c r="B46" s="5"/>
      <c r="C46" s="48"/>
      <c r="D46" s="14" t="s">
        <v>59</v>
      </c>
      <c r="E46" s="7" cm="1">
        <f t="array" ref="E46:J46">'Gráficas SpeedUp'!D149:I149</f>
        <v>4360396</v>
      </c>
      <c r="F46" s="7">
        <v>2261759</v>
      </c>
      <c r="G46" s="7">
        <v>1145754</v>
      </c>
      <c r="H46" s="7">
        <v>652042</v>
      </c>
      <c r="I46" s="7">
        <v>706104</v>
      </c>
      <c r="J46" s="7">
        <v>704685</v>
      </c>
      <c r="K46" s="7"/>
      <c r="L46" s="7"/>
      <c r="M46" s="7"/>
      <c r="N46" s="7"/>
      <c r="O46" s="8"/>
    </row>
    <row r="47" spans="2:15">
      <c r="B47" s="5"/>
      <c r="C47" s="48"/>
      <c r="D47" s="14" t="s">
        <v>60</v>
      </c>
      <c r="E47" s="7" cm="1">
        <f t="array" ref="E47:J47">'Gráficas SpeedUp'!D217:I217</f>
        <v>1355738</v>
      </c>
      <c r="F47" s="7">
        <v>695255</v>
      </c>
      <c r="G47" s="7">
        <v>353572</v>
      </c>
      <c r="H47" s="7">
        <v>196999</v>
      </c>
      <c r="I47" s="7">
        <v>139618</v>
      </c>
      <c r="J47" s="7">
        <v>100522</v>
      </c>
      <c r="K47" s="7"/>
      <c r="L47" s="7"/>
      <c r="M47" s="7"/>
      <c r="N47" s="7"/>
      <c r="O47" s="8"/>
    </row>
    <row r="48" spans="2:15">
      <c r="B48" s="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8"/>
    </row>
    <row r="49" spans="2:15">
      <c r="B49" s="5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8"/>
    </row>
    <row r="50" spans="2:15">
      <c r="B50" s="5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8"/>
    </row>
    <row r="51" spans="2:15">
      <c r="B51" s="5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8"/>
    </row>
    <row r="52" spans="2:15">
      <c r="B52" s="5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8"/>
    </row>
    <row r="53" spans="2:15">
      <c r="B53" s="5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8"/>
    </row>
    <row r="54" spans="2:15">
      <c r="B54" s="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8"/>
    </row>
    <row r="55" spans="2:15">
      <c r="B55" s="5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8"/>
    </row>
    <row r="56" spans="2:15">
      <c r="B56" s="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8"/>
    </row>
    <row r="57" spans="2:15">
      <c r="B57" s="5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8"/>
    </row>
    <row r="58" spans="2:15">
      <c r="B58" s="5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8"/>
    </row>
    <row r="59" spans="2:15">
      <c r="B59" s="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8"/>
    </row>
    <row r="60" spans="2:15">
      <c r="B60" s="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8"/>
    </row>
    <row r="61" spans="2:15">
      <c r="B61" s="5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8"/>
    </row>
    <row r="62" spans="2:15">
      <c r="B62" s="5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8"/>
    </row>
    <row r="63" spans="2:15">
      <c r="B63" s="5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8"/>
    </row>
    <row r="64" spans="2:15">
      <c r="B64" s="5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8"/>
    </row>
    <row r="65" spans="2:15">
      <c r="B65" s="5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8"/>
    </row>
    <row r="66" spans="2:15">
      <c r="B66" s="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8"/>
    </row>
    <row r="67" spans="2:15">
      <c r="B67" s="5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8"/>
    </row>
    <row r="68" spans="2:15">
      <c r="B68" s="5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8"/>
    </row>
    <row r="69" spans="2:15">
      <c r="B69" s="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8"/>
    </row>
    <row r="70" spans="2:15">
      <c r="B70" s="5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8"/>
    </row>
    <row r="71" spans="2:15">
      <c r="B71" s="5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8"/>
    </row>
    <row r="72" spans="2:15">
      <c r="B72" s="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8"/>
    </row>
    <row r="73" spans="2:15">
      <c r="B73" s="5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8"/>
    </row>
    <row r="74" spans="2:15">
      <c r="B74" s="5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8"/>
    </row>
    <row r="75" spans="2:15" ht="15.95" thickBot="1">
      <c r="B75" s="10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2"/>
    </row>
    <row r="78" spans="2:15" ht="15.95" thickBot="1"/>
    <row r="79" spans="2:15"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4"/>
    </row>
    <row r="80" spans="2:15" ht="36.950000000000003">
      <c r="B80" s="5"/>
      <c r="C80" s="7"/>
      <c r="D80" s="6" t="s">
        <v>62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8"/>
    </row>
    <row r="81" spans="2:15">
      <c r="B81" s="5"/>
      <c r="C81" s="13"/>
      <c r="D81" s="9" t="str" cm="1">
        <f t="array" ref="D81:J81">'Gráficas SpeedUp'!C144:I144</f>
        <v># Hilos</v>
      </c>
      <c r="E81" s="9" t="str">
        <v>1 hilo</v>
      </c>
      <c r="F81" s="9" t="str">
        <v>2 hilos</v>
      </c>
      <c r="G81" s="9" t="str">
        <v>4 hilos</v>
      </c>
      <c r="H81" s="9" t="str">
        <v>8 hilos</v>
      </c>
      <c r="I81" s="9" t="str">
        <v>12 hilos</v>
      </c>
      <c r="J81" s="9" t="str">
        <v>32 hilos</v>
      </c>
      <c r="K81" s="7"/>
      <c r="L81" s="7"/>
      <c r="M81" s="7"/>
      <c r="N81" s="7"/>
      <c r="O81" s="8"/>
    </row>
    <row r="82" spans="2:15">
      <c r="B82" s="5"/>
      <c r="C82" s="48" t="s">
        <v>56</v>
      </c>
      <c r="D82" s="14" t="s">
        <v>57</v>
      </c>
      <c r="E82" s="7" cm="1">
        <f t="array" ref="E82:J82">'Gráficas SpeedUp'!D16:I16</f>
        <v>59688529</v>
      </c>
      <c r="F82" s="7">
        <v>29861544</v>
      </c>
      <c r="G82" s="7">
        <v>14704596</v>
      </c>
      <c r="H82" s="7">
        <v>8382191</v>
      </c>
      <c r="I82" s="7">
        <v>8415320</v>
      </c>
      <c r="J82" s="7">
        <v>7716837</v>
      </c>
      <c r="K82" s="7"/>
      <c r="L82" s="7"/>
      <c r="M82" s="7"/>
      <c r="N82" s="7"/>
      <c r="O82" s="8"/>
    </row>
    <row r="83" spans="2:15">
      <c r="B83" s="5"/>
      <c r="C83" s="48"/>
      <c r="D83" s="14" t="s">
        <v>58</v>
      </c>
      <c r="E83" s="7" cm="1">
        <f t="array" ref="E83:J83">'Gráficas SpeedUp'!D84:I84</f>
        <v>51337148</v>
      </c>
      <c r="F83" s="7">
        <v>26115391</v>
      </c>
      <c r="G83" s="7">
        <v>13005333</v>
      </c>
      <c r="H83" s="7">
        <v>7403739</v>
      </c>
      <c r="I83" s="7">
        <v>7228771</v>
      </c>
      <c r="J83" s="7">
        <v>6310075</v>
      </c>
      <c r="K83" s="7"/>
      <c r="L83" s="7"/>
      <c r="M83" s="7"/>
      <c r="N83" s="7"/>
      <c r="O83" s="8"/>
    </row>
    <row r="84" spans="2:15">
      <c r="B84" s="5"/>
      <c r="C84" s="48"/>
      <c r="D84" s="14" t="s">
        <v>59</v>
      </c>
      <c r="E84" s="7" cm="1">
        <f t="array" ref="E84:J84">'Gráficas SpeedUp'!D152:I152</f>
        <v>60263329</v>
      </c>
      <c r="F84" s="7">
        <v>30222870</v>
      </c>
      <c r="G84" s="7">
        <v>14773982</v>
      </c>
      <c r="H84" s="7">
        <v>8397767</v>
      </c>
      <c r="I84" s="7">
        <v>8328763</v>
      </c>
      <c r="J84" s="7">
        <v>7140335</v>
      </c>
      <c r="K84" s="7"/>
      <c r="L84" s="7"/>
      <c r="M84" s="7"/>
      <c r="N84" s="7"/>
      <c r="O84" s="8"/>
    </row>
    <row r="85" spans="2:15">
      <c r="B85" s="5"/>
      <c r="C85" s="48"/>
      <c r="D85" s="14" t="s">
        <v>60</v>
      </c>
      <c r="E85" s="7" cm="1">
        <f t="array" ref="E85:J85">'Gráficas SpeedUp'!D220:I220</f>
        <v>12027030</v>
      </c>
      <c r="F85" s="7">
        <v>6199007</v>
      </c>
      <c r="G85" s="7">
        <v>3138623</v>
      </c>
      <c r="H85" s="7">
        <v>1731621</v>
      </c>
      <c r="I85" s="7">
        <v>1238891</v>
      </c>
      <c r="J85" s="7">
        <v>1091545</v>
      </c>
      <c r="K85" s="7"/>
      <c r="L85" s="7"/>
      <c r="M85" s="7"/>
      <c r="N85" s="7"/>
      <c r="O85" s="8"/>
    </row>
    <row r="86" spans="2:15">
      <c r="B86" s="5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8"/>
    </row>
    <row r="87" spans="2:15">
      <c r="B87" s="5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8"/>
    </row>
    <row r="88" spans="2:15">
      <c r="B88" s="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8"/>
    </row>
    <row r="89" spans="2:15">
      <c r="B89" s="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8"/>
    </row>
    <row r="90" spans="2:15">
      <c r="B90" s="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8"/>
    </row>
    <row r="91" spans="2:15">
      <c r="B91" s="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8"/>
    </row>
    <row r="92" spans="2:15">
      <c r="B92" s="5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8"/>
    </row>
    <row r="93" spans="2:15">
      <c r="B93" s="5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8"/>
    </row>
    <row r="94" spans="2:15">
      <c r="B94" s="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8"/>
    </row>
    <row r="95" spans="2:15">
      <c r="B95" s="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8"/>
    </row>
    <row r="96" spans="2:15">
      <c r="B96" s="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8"/>
    </row>
    <row r="97" spans="2:15">
      <c r="B97" s="5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8"/>
    </row>
    <row r="98" spans="2:15">
      <c r="B98" s="5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8"/>
    </row>
    <row r="99" spans="2:15">
      <c r="B99" s="5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8"/>
    </row>
    <row r="100" spans="2:15">
      <c r="B100" s="5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8"/>
    </row>
    <row r="101" spans="2:15">
      <c r="B101" s="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8"/>
    </row>
    <row r="102" spans="2:15">
      <c r="B102" s="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8"/>
    </row>
    <row r="103" spans="2:15">
      <c r="B103" s="5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8"/>
    </row>
    <row r="104" spans="2:15">
      <c r="B104" s="5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8"/>
    </row>
    <row r="105" spans="2:15">
      <c r="B105" s="5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8"/>
    </row>
    <row r="106" spans="2:15">
      <c r="B106" s="5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8"/>
    </row>
    <row r="107" spans="2:15">
      <c r="B107" s="5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8"/>
    </row>
    <row r="108" spans="2:15">
      <c r="B108" s="5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8"/>
    </row>
    <row r="109" spans="2:15">
      <c r="B109" s="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8"/>
    </row>
    <row r="110" spans="2:15">
      <c r="B110" s="5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8"/>
    </row>
    <row r="111" spans="2:15">
      <c r="B111" s="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8"/>
    </row>
    <row r="112" spans="2:15">
      <c r="B112" s="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8"/>
    </row>
    <row r="113" spans="2:15" ht="15.95" thickBot="1">
      <c r="B113" s="10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2"/>
    </row>
    <row r="116" spans="2:15" ht="15.95" thickBot="1"/>
    <row r="117" spans="2:15"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4"/>
    </row>
    <row r="118" spans="2:15" ht="36.950000000000003">
      <c r="B118" s="5"/>
      <c r="C118" s="7"/>
      <c r="D118" s="6" t="s">
        <v>63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8"/>
    </row>
    <row r="119" spans="2:15">
      <c r="B119" s="5"/>
      <c r="C119" s="13"/>
      <c r="D119" s="9" t="str" cm="1">
        <f t="array" ref="D119:J119">'Gráficas SpeedUp'!C212:I212</f>
        <v># Hilos</v>
      </c>
      <c r="E119" s="9" t="str">
        <v>1 hilo</v>
      </c>
      <c r="F119" s="9" t="str">
        <v>2 hilos</v>
      </c>
      <c r="G119" s="9" t="str">
        <v>4 hilos</v>
      </c>
      <c r="H119" s="9" t="str">
        <v>8 hilos</v>
      </c>
      <c r="I119" s="9" t="str">
        <v>12 hilos</v>
      </c>
      <c r="J119" s="9" t="str">
        <v>32 hilos</v>
      </c>
      <c r="K119" s="7"/>
      <c r="L119" s="7"/>
      <c r="M119" s="7"/>
      <c r="N119" s="7"/>
      <c r="O119" s="8"/>
    </row>
    <row r="120" spans="2:15">
      <c r="B120" s="5"/>
      <c r="C120" s="48" t="s">
        <v>56</v>
      </c>
      <c r="D120" s="14" t="s">
        <v>57</v>
      </c>
      <c r="E120" s="7" cm="1">
        <f t="array" ref="E120:J120">'Gráficas SpeedUp'!D19:I19</f>
        <v>611877859</v>
      </c>
      <c r="F120" s="7">
        <v>276841401</v>
      </c>
      <c r="G120" s="7">
        <v>137810616</v>
      </c>
      <c r="H120" s="7">
        <v>79156311</v>
      </c>
      <c r="I120" s="7">
        <v>80106398</v>
      </c>
      <c r="J120" s="7">
        <v>99993603</v>
      </c>
      <c r="K120" s="7"/>
      <c r="L120" s="7"/>
      <c r="M120" s="7"/>
      <c r="N120" s="7"/>
      <c r="O120" s="8"/>
    </row>
    <row r="121" spans="2:15">
      <c r="B121" s="5"/>
      <c r="C121" s="48"/>
      <c r="D121" s="14" t="s">
        <v>58</v>
      </c>
      <c r="E121" s="7" cm="1">
        <f t="array" ref="E121:J121">'Gráficas SpeedUp'!D87:I87</f>
        <v>584694243</v>
      </c>
      <c r="F121" s="7">
        <v>291723641</v>
      </c>
      <c r="G121" s="7">
        <v>145434369</v>
      </c>
      <c r="H121" s="7">
        <v>83805191</v>
      </c>
      <c r="I121" s="7">
        <v>76371487</v>
      </c>
      <c r="J121" s="7">
        <v>68335172</v>
      </c>
      <c r="K121" s="7"/>
      <c r="L121" s="7"/>
      <c r="M121" s="7"/>
      <c r="N121" s="7"/>
      <c r="O121" s="8"/>
    </row>
    <row r="122" spans="2:15">
      <c r="B122" s="5"/>
      <c r="C122" s="48"/>
      <c r="D122" s="14" t="s">
        <v>59</v>
      </c>
      <c r="E122" s="7" cm="1">
        <f t="array" ref="E122:J122">'Gráficas SpeedUp'!D155:I155</f>
        <v>606742750</v>
      </c>
      <c r="F122" s="7">
        <v>270003954</v>
      </c>
      <c r="G122" s="7">
        <v>135199971</v>
      </c>
      <c r="H122" s="7">
        <v>78015029</v>
      </c>
      <c r="I122" s="7">
        <v>77427123</v>
      </c>
      <c r="J122" s="7">
        <v>75979769</v>
      </c>
      <c r="K122" s="7"/>
      <c r="L122" s="7"/>
      <c r="M122" s="7"/>
      <c r="N122" s="7"/>
      <c r="O122" s="8"/>
    </row>
    <row r="123" spans="2:15">
      <c r="B123" s="5"/>
      <c r="C123" s="48"/>
      <c r="D123" s="14" t="s">
        <v>60</v>
      </c>
      <c r="E123" s="7" cm="1">
        <f t="array" ref="E123:J123">'Gráficas SpeedUp'!D223:I223</f>
        <v>99612598</v>
      </c>
      <c r="F123" s="7">
        <v>51199481</v>
      </c>
      <c r="G123" s="7">
        <v>25718172</v>
      </c>
      <c r="H123" s="7">
        <v>14306078</v>
      </c>
      <c r="I123" s="7">
        <v>10195417</v>
      </c>
      <c r="J123" s="7">
        <v>18486073</v>
      </c>
      <c r="K123" s="7"/>
      <c r="L123" s="7"/>
      <c r="M123" s="7"/>
      <c r="N123" s="7"/>
      <c r="O123" s="8"/>
    </row>
    <row r="124" spans="2:15">
      <c r="B124" s="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8"/>
    </row>
    <row r="125" spans="2:15">
      <c r="B125" s="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8"/>
    </row>
    <row r="126" spans="2:15">
      <c r="B126" s="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8"/>
    </row>
    <row r="127" spans="2:15">
      <c r="B127" s="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8"/>
    </row>
    <row r="128" spans="2:15">
      <c r="B128" s="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8"/>
    </row>
    <row r="129" spans="2:15">
      <c r="B129" s="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8"/>
    </row>
    <row r="130" spans="2:15">
      <c r="B130" s="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8"/>
    </row>
    <row r="131" spans="2:15">
      <c r="B131" s="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8"/>
    </row>
    <row r="132" spans="2:15">
      <c r="B132" s="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8"/>
    </row>
    <row r="133" spans="2:15">
      <c r="B133" s="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8"/>
    </row>
    <row r="134" spans="2:15">
      <c r="B134" s="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8"/>
    </row>
    <row r="135" spans="2:15">
      <c r="B135" s="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8"/>
    </row>
    <row r="136" spans="2:15">
      <c r="B136" s="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8"/>
    </row>
    <row r="137" spans="2:15">
      <c r="B137" s="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8"/>
    </row>
    <row r="138" spans="2:15">
      <c r="B138" s="5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8"/>
    </row>
    <row r="139" spans="2:15">
      <c r="B139" s="5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8"/>
    </row>
    <row r="140" spans="2:15">
      <c r="B140" s="5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8"/>
    </row>
    <row r="141" spans="2:15">
      <c r="B141" s="5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8"/>
    </row>
    <row r="142" spans="2:15">
      <c r="B142" s="5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8"/>
    </row>
    <row r="143" spans="2:15">
      <c r="B143" s="5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8"/>
    </row>
    <row r="144" spans="2:15">
      <c r="B144" s="5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8"/>
    </row>
    <row r="145" spans="2:15">
      <c r="B145" s="5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8"/>
    </row>
    <row r="146" spans="2:15">
      <c r="B146" s="5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8"/>
    </row>
    <row r="147" spans="2:15">
      <c r="B147" s="5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8"/>
    </row>
    <row r="148" spans="2:15">
      <c r="B148" s="5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8"/>
    </row>
    <row r="149" spans="2:15">
      <c r="B149" s="5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8"/>
    </row>
    <row r="150" spans="2:15">
      <c r="B150" s="5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8"/>
    </row>
    <row r="151" spans="2:15" ht="15.95" thickBot="1">
      <c r="B151" s="10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2"/>
    </row>
  </sheetData>
  <mergeCells count="4">
    <mergeCell ref="C120:C123"/>
    <mergeCell ref="C6:C9"/>
    <mergeCell ref="C44:C47"/>
    <mergeCell ref="C82:C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Felipe Ramirez Vargas</dc:creator>
  <cp:keywords/>
  <dc:description/>
  <cp:lastModifiedBy/>
  <cp:revision/>
  <dcterms:created xsi:type="dcterms:W3CDTF">2025-11-03T08:10:09Z</dcterms:created>
  <dcterms:modified xsi:type="dcterms:W3CDTF">2025-11-10T01:28:53Z</dcterms:modified>
  <cp:category/>
  <cp:contentStatus/>
</cp:coreProperties>
</file>