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ermo\Documents\Universidad\Cuarto Semestre\Sistemas Operativos\"/>
    </mc:Choice>
  </mc:AlternateContent>
  <xr:revisionPtr revIDLastSave="0" documentId="13_ncr:1_{80DFD771-1261-49A9-BD3E-1BFC9E5C0B67}" xr6:coauthVersionLast="47" xr6:coauthVersionMax="47" xr10:uidLastSave="{00000000-0000-0000-0000-000000000000}"/>
  <bookViews>
    <workbookView xWindow="-108" yWindow="-108" windowWidth="23256" windowHeight="12456" activeTab="2" xr2:uid="{6FBAE34B-A4D4-4AE5-8E06-5619365ACB10}"/>
  </bookViews>
  <sheets>
    <sheet name="Información completa" sheetId="1" r:id="rId1"/>
    <sheet name="Gráficas SpeedUp" sheetId="2" r:id="rId2"/>
    <sheet name="Gráficas Tiemp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5" i="1" l="1" a="1"/>
  <c r="AE35" i="1" s="1"/>
  <c r="F19" i="2" s="1"/>
  <c r="F18" i="2" s="1"/>
  <c r="AF35" i="1" a="1"/>
  <c r="AF35" i="1" s="1"/>
  <c r="G19" i="2" s="1"/>
  <c r="G18" i="2" s="1"/>
  <c r="D119" i="3" a="1"/>
  <c r="D119" i="3" s="1"/>
  <c r="D81" i="3" a="1"/>
  <c r="D81" i="3" s="1"/>
  <c r="D43" i="3" a="1"/>
  <c r="D43" i="3" s="1"/>
  <c r="D5" i="3" a="1"/>
  <c r="D5" i="3" s="1"/>
  <c r="F223" i="2"/>
  <c r="F220" i="2"/>
  <c r="M213" i="2"/>
  <c r="F155" i="2"/>
  <c r="M145" i="2"/>
  <c r="G87" i="2"/>
  <c r="I81" i="2"/>
  <c r="D81" i="2"/>
  <c r="I80" i="2" s="1"/>
  <c r="M77" i="2"/>
  <c r="M9" i="2"/>
  <c r="E19" i="2"/>
  <c r="E18" i="2" s="1"/>
  <c r="D19" i="2"/>
  <c r="X35" i="1" a="1"/>
  <c r="X35" i="1" s="1"/>
  <c r="G16" i="2" s="1"/>
  <c r="O35" i="1" a="1"/>
  <c r="O35" i="1" s="1"/>
  <c r="F13" i="2" s="1"/>
  <c r="E35" i="1" a="1"/>
  <c r="E35" i="1" s="1"/>
  <c r="D10" i="2" s="1"/>
  <c r="E143" i="1" a="1"/>
  <c r="E143" i="1" s="1"/>
  <c r="D214" i="2" s="1"/>
  <c r="N143" i="1" a="1"/>
  <c r="N143" i="1" s="1"/>
  <c r="E217" i="2" s="1"/>
  <c r="W143" i="1" a="1"/>
  <c r="W143" i="1" s="1"/>
  <c r="Z143" i="1" a="1"/>
  <c r="Z143" i="1" s="1"/>
  <c r="I220" i="2" s="1"/>
  <c r="Z107" i="1" a="1"/>
  <c r="Z107" i="1" s="1"/>
  <c r="I152" i="2" s="1"/>
  <c r="E107" i="1" a="1"/>
  <c r="E107" i="1" s="1"/>
  <c r="D146" i="2" s="1"/>
  <c r="Q107" i="1" a="1"/>
  <c r="Q107" i="1" s="1"/>
  <c r="H149" i="2" s="1"/>
  <c r="R71" i="1" a="1"/>
  <c r="R71" i="1" s="1"/>
  <c r="F71" i="1" a="1"/>
  <c r="F71" i="1" s="1"/>
  <c r="E78" i="2" s="1"/>
  <c r="E71" i="1" a="1"/>
  <c r="E71" i="1" s="1"/>
  <c r="D78" i="2" s="1"/>
  <c r="AH143" i="1" a="1"/>
  <c r="AH143" i="1" s="1"/>
  <c r="I223" i="2" s="1"/>
  <c r="AG143" i="1" a="1"/>
  <c r="AG143" i="1" s="1"/>
  <c r="H223" i="2" s="1"/>
  <c r="AF143" i="1" a="1"/>
  <c r="AF143" i="1" s="1"/>
  <c r="G223" i="2" s="1"/>
  <c r="AE143" i="1" a="1"/>
  <c r="AE143" i="1" s="1"/>
  <c r="AD143" i="1" a="1"/>
  <c r="AD143" i="1" s="1"/>
  <c r="E223" i="2" s="1"/>
  <c r="AC143" i="1" a="1"/>
  <c r="AC143" i="1" s="1"/>
  <c r="D223" i="2" s="1"/>
  <c r="Y143" i="1" a="1"/>
  <c r="Y143" i="1" s="1"/>
  <c r="H220" i="2" s="1"/>
  <c r="X143" i="1" a="1"/>
  <c r="X143" i="1" s="1"/>
  <c r="G220" i="2" s="1"/>
  <c r="V143" i="1" a="1"/>
  <c r="V143" i="1" s="1"/>
  <c r="E220" i="2" s="1"/>
  <c r="U143" i="1" a="1"/>
  <c r="U143" i="1" s="1"/>
  <c r="D220" i="2" s="1"/>
  <c r="R143" i="1" a="1"/>
  <c r="R143" i="1" s="1"/>
  <c r="I217" i="2" s="1"/>
  <c r="Q143" i="1" a="1"/>
  <c r="Q143" i="1" s="1"/>
  <c r="H217" i="2" s="1"/>
  <c r="P143" i="1" a="1"/>
  <c r="P143" i="1" s="1"/>
  <c r="G217" i="2" s="1"/>
  <c r="O143" i="1" a="1"/>
  <c r="O143" i="1" s="1"/>
  <c r="F217" i="2" s="1"/>
  <c r="M143" i="1" a="1"/>
  <c r="M143" i="1" s="1"/>
  <c r="D217" i="2" s="1"/>
  <c r="J143" i="1" a="1"/>
  <c r="J143" i="1" s="1"/>
  <c r="I214" i="2" s="1"/>
  <c r="I143" i="1" a="1"/>
  <c r="I143" i="1" s="1"/>
  <c r="H214" i="2" s="1"/>
  <c r="H143" i="1" a="1"/>
  <c r="H143" i="1" s="1"/>
  <c r="G214" i="2" s="1"/>
  <c r="G143" i="1" a="1"/>
  <c r="G143" i="1" s="1"/>
  <c r="F214" i="2" s="1"/>
  <c r="F143" i="1" a="1"/>
  <c r="F143" i="1" s="1"/>
  <c r="E214" i="2" s="1"/>
  <c r="AH107" i="1" a="1"/>
  <c r="AH107" i="1" s="1"/>
  <c r="I155" i="2" s="1"/>
  <c r="AG107" i="1" a="1"/>
  <c r="AG107" i="1" s="1"/>
  <c r="H155" i="2" s="1"/>
  <c r="AF107" i="1" a="1"/>
  <c r="AF107" i="1" s="1"/>
  <c r="G155" i="2" s="1"/>
  <c r="AE107" i="1" a="1"/>
  <c r="AE107" i="1" s="1"/>
  <c r="AD107" i="1" a="1"/>
  <c r="AD107" i="1" s="1"/>
  <c r="E155" i="2" s="1"/>
  <c r="AC107" i="1" a="1"/>
  <c r="AC107" i="1" s="1"/>
  <c r="D155" i="2" s="1"/>
  <c r="Y107" i="1" a="1"/>
  <c r="Y107" i="1" s="1"/>
  <c r="H152" i="2" s="1"/>
  <c r="X107" i="1" a="1"/>
  <c r="X107" i="1" s="1"/>
  <c r="G152" i="2" s="1"/>
  <c r="W107" i="1" a="1"/>
  <c r="W107" i="1" s="1"/>
  <c r="F152" i="2" s="1"/>
  <c r="V107" i="1" a="1"/>
  <c r="V107" i="1" s="1"/>
  <c r="E152" i="2" s="1"/>
  <c r="U107" i="1" a="1"/>
  <c r="U107" i="1" s="1"/>
  <c r="D152" i="2" s="1"/>
  <c r="R107" i="1" a="1"/>
  <c r="R107" i="1" s="1"/>
  <c r="I149" i="2" s="1"/>
  <c r="P107" i="1" a="1"/>
  <c r="P107" i="1" s="1"/>
  <c r="G149" i="2" s="1"/>
  <c r="O107" i="1" a="1"/>
  <c r="O107" i="1" s="1"/>
  <c r="F149" i="2" s="1"/>
  <c r="N107" i="1" a="1"/>
  <c r="N107" i="1" s="1"/>
  <c r="E149" i="2" s="1"/>
  <c r="M107" i="1" a="1"/>
  <c r="M107" i="1" s="1"/>
  <c r="D149" i="2" s="1"/>
  <c r="J107" i="1" a="1"/>
  <c r="J107" i="1" s="1"/>
  <c r="I146" i="2" s="1"/>
  <c r="I107" i="1" a="1"/>
  <c r="I107" i="1" s="1"/>
  <c r="H146" i="2" s="1"/>
  <c r="H107" i="1" a="1"/>
  <c r="H107" i="1" s="1"/>
  <c r="G146" i="2" s="1"/>
  <c r="G107" i="1" a="1"/>
  <c r="G107" i="1" s="1"/>
  <c r="F146" i="2" s="1"/>
  <c r="F107" i="1" a="1"/>
  <c r="F107" i="1" s="1"/>
  <c r="E146" i="2" s="1"/>
  <c r="AH71" i="1" a="1"/>
  <c r="AH71" i="1" s="1"/>
  <c r="I87" i="2" s="1"/>
  <c r="AG71" i="1" a="1"/>
  <c r="AG71" i="1" s="1"/>
  <c r="H87" i="2" s="1"/>
  <c r="AF71" i="1" a="1"/>
  <c r="AF71" i="1" s="1"/>
  <c r="AE71" i="1" a="1"/>
  <c r="AE71" i="1" s="1"/>
  <c r="F87" i="2" s="1"/>
  <c r="AD71" i="1" a="1"/>
  <c r="AD71" i="1" s="1"/>
  <c r="E87" i="2" s="1"/>
  <c r="AC71" i="1" a="1"/>
  <c r="AC71" i="1" s="1"/>
  <c r="D87" i="2" s="1"/>
  <c r="Z71" i="1" a="1"/>
  <c r="Z71" i="1" s="1"/>
  <c r="I84" i="2" s="1"/>
  <c r="Y71" i="1" a="1"/>
  <c r="Y71" i="1" s="1"/>
  <c r="H84" i="2" s="1"/>
  <c r="X71" i="1" a="1"/>
  <c r="X71" i="1" s="1"/>
  <c r="G84" i="2" s="1"/>
  <c r="W71" i="1" a="1"/>
  <c r="W71" i="1" s="1"/>
  <c r="F84" i="2" s="1"/>
  <c r="V71" i="1" a="1"/>
  <c r="V71" i="1" s="1"/>
  <c r="E84" i="2" s="1"/>
  <c r="U71" i="1" a="1"/>
  <c r="U71" i="1" s="1"/>
  <c r="D84" i="2" s="1"/>
  <c r="Q71" i="1" a="1"/>
  <c r="Q71" i="1" s="1"/>
  <c r="H81" i="2" s="1"/>
  <c r="P71" i="1" a="1"/>
  <c r="P71" i="1" s="1"/>
  <c r="G81" i="2" s="1"/>
  <c r="O71" i="1" a="1"/>
  <c r="O71" i="1" s="1"/>
  <c r="F81" i="2" s="1"/>
  <c r="N71" i="1" a="1"/>
  <c r="N71" i="1" s="1"/>
  <c r="E81" i="2" s="1"/>
  <c r="M71" i="1" a="1"/>
  <c r="M71" i="1" s="1"/>
  <c r="J71" i="1" a="1"/>
  <c r="J71" i="1" s="1"/>
  <c r="I78" i="2" s="1"/>
  <c r="I71" i="1" a="1"/>
  <c r="I71" i="1" s="1"/>
  <c r="H78" i="2" s="1"/>
  <c r="H71" i="1" a="1"/>
  <c r="H71" i="1" s="1"/>
  <c r="G78" i="2" s="1"/>
  <c r="G71" i="1" a="1"/>
  <c r="G71" i="1" s="1"/>
  <c r="F78" i="2" s="1"/>
  <c r="F35" i="1" a="1"/>
  <c r="F35" i="1" s="1"/>
  <c r="E10" i="2" s="1"/>
  <c r="G35" i="1" a="1"/>
  <c r="G35" i="1" s="1"/>
  <c r="F10" i="2" s="1"/>
  <c r="H35" i="1" a="1"/>
  <c r="H35" i="1" s="1"/>
  <c r="G10" i="2" s="1"/>
  <c r="I35" i="1" a="1"/>
  <c r="I35" i="1" s="1"/>
  <c r="H10" i="2" s="1"/>
  <c r="J35" i="1" a="1"/>
  <c r="J35" i="1" s="1"/>
  <c r="I10" i="2" s="1"/>
  <c r="M35" i="1" a="1"/>
  <c r="M35" i="1" s="1"/>
  <c r="D13" i="2" s="1"/>
  <c r="N35" i="1" a="1"/>
  <c r="N35" i="1" s="1"/>
  <c r="E13" i="2" s="1"/>
  <c r="P35" i="1" a="1"/>
  <c r="P35" i="1" s="1"/>
  <c r="G13" i="2" s="1"/>
  <c r="Q35" i="1" a="1"/>
  <c r="Q35" i="1" s="1"/>
  <c r="H13" i="2" s="1"/>
  <c r="R35" i="1" a="1"/>
  <c r="R35" i="1" s="1"/>
  <c r="I13" i="2" s="1"/>
  <c r="U35" i="1" a="1"/>
  <c r="U35" i="1" s="1"/>
  <c r="D16" i="2" s="1"/>
  <c r="V35" i="1" a="1"/>
  <c r="V35" i="1" s="1"/>
  <c r="E16" i="2" s="1"/>
  <c r="W35" i="1" a="1"/>
  <c r="W35" i="1" s="1"/>
  <c r="F16" i="2" s="1"/>
  <c r="Y35" i="1" a="1"/>
  <c r="Y35" i="1" s="1"/>
  <c r="H16" i="2" s="1"/>
  <c r="Z35" i="1" a="1"/>
  <c r="Z35" i="1" s="1"/>
  <c r="I16" i="2" s="1"/>
  <c r="AC35" i="1" a="1"/>
  <c r="AC35" i="1" s="1"/>
  <c r="AD35" i="1" a="1"/>
  <c r="AD35" i="1" s="1"/>
  <c r="AG35" i="1" a="1"/>
  <c r="AG35" i="1" s="1"/>
  <c r="H19" i="2" s="1"/>
  <c r="H18" i="2" s="1"/>
  <c r="AH35" i="1" a="1"/>
  <c r="AH35" i="1" s="1"/>
  <c r="I19" i="2" s="1"/>
  <c r="I18" i="2" s="1"/>
  <c r="E123" i="3" l="1" a="1"/>
  <c r="E123" i="3" s="1"/>
  <c r="H222" i="2"/>
  <c r="G222" i="2"/>
  <c r="I222" i="2"/>
  <c r="F222" i="2"/>
  <c r="E222" i="2"/>
  <c r="I219" i="2"/>
  <c r="H219" i="2"/>
  <c r="F219" i="2"/>
  <c r="E85" i="3" a="1"/>
  <c r="E85" i="3" s="1"/>
  <c r="E219" i="2"/>
  <c r="G219" i="2"/>
  <c r="E47" i="3" a="1"/>
  <c r="E47" i="3" s="1"/>
  <c r="G216" i="2"/>
  <c r="F216" i="2"/>
  <c r="I216" i="2"/>
  <c r="E216" i="2"/>
  <c r="H216" i="2"/>
  <c r="G213" i="2"/>
  <c r="E9" i="3" a="1"/>
  <c r="E9" i="3" s="1"/>
  <c r="E122" i="3" a="1"/>
  <c r="E122" i="3" s="1"/>
  <c r="I154" i="2"/>
  <c r="H154" i="2"/>
  <c r="G154" i="2"/>
  <c r="F154" i="2"/>
  <c r="E154" i="2"/>
  <c r="E151" i="2"/>
  <c r="E84" i="3" a="1"/>
  <c r="E84" i="3" s="1"/>
  <c r="I151" i="2"/>
  <c r="H151" i="2"/>
  <c r="G151" i="2"/>
  <c r="F151" i="2"/>
  <c r="H148" i="2"/>
  <c r="E46" i="3" a="1"/>
  <c r="E46" i="3" s="1"/>
  <c r="E8" i="3" a="1"/>
  <c r="E8" i="3" s="1"/>
  <c r="F86" i="2"/>
  <c r="I86" i="2"/>
  <c r="E86" i="2"/>
  <c r="E121" i="3" a="1"/>
  <c r="E121" i="3" s="1"/>
  <c r="H86" i="2"/>
  <c r="G86" i="2"/>
  <c r="E83" i="2"/>
  <c r="H83" i="2"/>
  <c r="I83" i="2"/>
  <c r="G83" i="2"/>
  <c r="P77" i="2" s="1"/>
  <c r="E83" i="3" a="1"/>
  <c r="E83" i="3" s="1"/>
  <c r="F83" i="2"/>
  <c r="E45" i="3" a="1"/>
  <c r="E45" i="3" s="1"/>
  <c r="F80" i="2"/>
  <c r="H80" i="2"/>
  <c r="G80" i="2"/>
  <c r="E80" i="2"/>
  <c r="E7" i="3" a="1"/>
  <c r="E7" i="3" s="1"/>
  <c r="E77" i="2"/>
  <c r="N77" i="2" s="1"/>
  <c r="G77" i="2"/>
  <c r="E120" i="3" a="1"/>
  <c r="E120" i="3" s="1"/>
  <c r="F15" i="2"/>
  <c r="E15" i="2"/>
  <c r="I15" i="2"/>
  <c r="E82" i="3" a="1"/>
  <c r="E82" i="3" s="1"/>
  <c r="H15" i="2"/>
  <c r="G15" i="2"/>
  <c r="I12" i="2"/>
  <c r="E12" i="2"/>
  <c r="H12" i="2"/>
  <c r="F12" i="2"/>
  <c r="E44" i="3" a="1"/>
  <c r="E44" i="3" s="1"/>
  <c r="G12" i="2"/>
  <c r="G9" i="2"/>
  <c r="H9" i="2"/>
  <c r="I9" i="2"/>
  <c r="E6" i="3" a="1"/>
  <c r="E6" i="3" s="1"/>
  <c r="E9" i="2"/>
  <c r="F9" i="2"/>
  <c r="O9" i="2" s="1"/>
  <c r="I213" i="2"/>
  <c r="F213" i="2"/>
  <c r="H213" i="2"/>
  <c r="E213" i="2"/>
  <c r="I148" i="2"/>
  <c r="F148" i="2"/>
  <c r="G148" i="2"/>
  <c r="E148" i="2"/>
  <c r="H145" i="2"/>
  <c r="E145" i="2"/>
  <c r="G145" i="2"/>
  <c r="I145" i="2"/>
  <c r="F145" i="2"/>
  <c r="H77" i="2"/>
  <c r="I77" i="2"/>
  <c r="F77" i="2"/>
  <c r="P213" i="2" l="1"/>
  <c r="O213" i="2"/>
  <c r="N213" i="2"/>
  <c r="R213" i="2"/>
  <c r="Q213" i="2"/>
  <c r="N145" i="2"/>
  <c r="P145" i="2"/>
  <c r="Q145" i="2"/>
  <c r="Q77" i="2"/>
  <c r="O77" i="2"/>
  <c r="R77" i="2"/>
  <c r="Q9" i="2"/>
  <c r="P9" i="2"/>
  <c r="R9" i="2"/>
  <c r="N9" i="2"/>
  <c r="O145" i="2"/>
  <c r="R14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<sst xmlns="http://schemas.openxmlformats.org/spreadsheetml/2006/main" count="444" uniqueCount="64">
  <si>
    <t>MATRIZ 600 X 600</t>
  </si>
  <si>
    <t>1 hilo</t>
  </si>
  <si>
    <t>2 hilos</t>
  </si>
  <si>
    <t>4 hilos</t>
  </si>
  <si>
    <t>8 hilos</t>
  </si>
  <si>
    <t>12 hilos</t>
  </si>
  <si>
    <t>32 hilos</t>
  </si>
  <si>
    <t>MATRIZ 1200 x 1200</t>
  </si>
  <si>
    <t>MATRIZ 2400 x 2400</t>
  </si>
  <si>
    <t>MATRIZ 4800 x 4800</t>
  </si>
  <si>
    <t>Repetición #1</t>
  </si>
  <si>
    <t>Repetición #2</t>
  </si>
  <si>
    <t>Repetición #3</t>
  </si>
  <si>
    <t>Repetición #4</t>
  </si>
  <si>
    <t>Repetición #5</t>
  </si>
  <si>
    <t>Repetición #6</t>
  </si>
  <si>
    <t>Repetición #7</t>
  </si>
  <si>
    <t>Repetición #8</t>
  </si>
  <si>
    <t>Repetición #9</t>
  </si>
  <si>
    <t>Repetición #10</t>
  </si>
  <si>
    <t>Repetición #11</t>
  </si>
  <si>
    <t>Repetición #12</t>
  </si>
  <si>
    <t>Repetición #13</t>
  </si>
  <si>
    <t>Repetición #14</t>
  </si>
  <si>
    <t>Repetición #15</t>
  </si>
  <si>
    <t>Repetición #16</t>
  </si>
  <si>
    <t>Repetición #17</t>
  </si>
  <si>
    <t>Repetición #18</t>
  </si>
  <si>
    <t>Repetición #19</t>
  </si>
  <si>
    <t>Repetición #20</t>
  </si>
  <si>
    <t>Repetición #21</t>
  </si>
  <si>
    <t>Repetición #22</t>
  </si>
  <si>
    <t>Repetición #23</t>
  </si>
  <si>
    <t>Repetición #24</t>
  </si>
  <si>
    <t>Repetición #25</t>
  </si>
  <si>
    <t>Repetición #26</t>
  </si>
  <si>
    <t>Repetición #27</t>
  </si>
  <si>
    <t>Repetición #28</t>
  </si>
  <si>
    <t>Repetición #29</t>
  </si>
  <si>
    <t>Repetición #30</t>
  </si>
  <si>
    <t>CLÁSICA FORK (tiempos en microsegundos)</t>
  </si>
  <si>
    <t>CLÁSICA OPENMP (tiempos en microsegundos)</t>
  </si>
  <si>
    <t>CLÁSICA POSIX (tiempos en microsegundos)</t>
  </si>
  <si>
    <t>FILAS OPENMP (tiempos en microsegundos)</t>
  </si>
  <si>
    <t>PROMEDIO</t>
  </si>
  <si>
    <t># Hilos</t>
  </si>
  <si>
    <t>Promedio Matrices 600 x 600</t>
  </si>
  <si>
    <t>Promedio Matrices 1200 x 1200</t>
  </si>
  <si>
    <t>Promedio Matrices 2400 x 2400</t>
  </si>
  <si>
    <t>Promedio Matrices 4800 x 4800</t>
  </si>
  <si>
    <t>SpeedUp Matrices 600 x 600</t>
  </si>
  <si>
    <t>SpeedUp Matrices 1200 x 1200</t>
  </si>
  <si>
    <t>SpeedUp Matrices 2400 x 2400</t>
  </si>
  <si>
    <t>SpeedUp Matrices 4800 x 4800</t>
  </si>
  <si>
    <t>Speed Up Promedio</t>
  </si>
  <si>
    <t>MATRICES 600 X 600</t>
  </si>
  <si>
    <t>Clásica OpenMP</t>
  </si>
  <si>
    <t>Clásica POSIX</t>
  </si>
  <si>
    <t>Filas OpenMP</t>
  </si>
  <si>
    <t>Clásica Fork</t>
  </si>
  <si>
    <t>Algoritmo</t>
  </si>
  <si>
    <t>MATRICES 1200 X 1200</t>
  </si>
  <si>
    <t>MATRICES 2400 X 2400</t>
  </si>
  <si>
    <t>MATRICES 4800 X 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</si>
</sst>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/>
      <diagonal/>
    </border>
    <border>
      <left/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/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medium">
        <color rgb="FFC00000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0" borderId="0" xfId="0" applyFont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5" fillId="2" borderId="0" xfId="0" applyFont="1" applyFill="1"/>
    <xf numFmtId="0" fontId="0" fillId="2" borderId="0" xfId="0" applyFill="1"/>
    <xf numFmtId="0" fontId="0" fillId="2" borderId="20" xfId="0" applyFill="1" applyBorder="1"/>
    <xf numFmtId="0" fontId="4" fillId="2" borderId="0" xfId="0" applyFont="1" applyFill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0" xfId="0" applyFill="1" applyAlignment="1">
      <alignment textRotation="45"/>
    </xf>
    <xf numFmtId="0" fontId="1" fillId="2" borderId="0" xfId="0" applyFont="1" applyFill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3" fillId="3" borderId="4" xfId="0" applyFont="1" applyFill="1" applyBorder="1"/>
    <xf numFmtId="0" fontId="3" fillId="3" borderId="0" xfId="0" applyFont="1" applyFill="1"/>
    <xf numFmtId="0" fontId="0" fillId="3" borderId="0" xfId="0" applyFill="1"/>
    <xf numFmtId="0" fontId="0" fillId="3" borderId="5" xfId="0" applyFill="1" applyBorder="1"/>
    <xf numFmtId="0" fontId="0" fillId="3" borderId="4" xfId="0" applyFill="1" applyBorder="1"/>
    <xf numFmtId="0" fontId="0" fillId="3" borderId="12" xfId="0" applyFill="1" applyBorder="1"/>
    <xf numFmtId="0" fontId="0" fillId="3" borderId="13" xfId="0" applyFill="1" applyBorder="1"/>
    <xf numFmtId="0" fontId="3" fillId="3" borderId="14" xfId="0" applyFont="1" applyFill="1" applyBorder="1"/>
    <xf numFmtId="0" fontId="3" fillId="3" borderId="1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6" fillId="3" borderId="4" xfId="0" applyFont="1" applyFill="1" applyBorder="1"/>
    <xf numFmtId="0" fontId="6" fillId="3" borderId="6" xfId="0" applyFont="1" applyFill="1" applyBorder="1"/>
    <xf numFmtId="0" fontId="6" fillId="0" borderId="0" xfId="0" applyFont="1"/>
    <xf numFmtId="0" fontId="5" fillId="3" borderId="1" xfId="0" applyFont="1" applyFill="1" applyBorder="1"/>
    <xf numFmtId="0" fontId="4" fillId="3" borderId="4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7" fillId="3" borderId="14" xfId="0" applyFont="1" applyFill="1" applyBorder="1"/>
    <xf numFmtId="0" fontId="4" fillId="3" borderId="7" xfId="0" applyFont="1" applyFill="1" applyBorder="1"/>
    <xf numFmtId="0" fontId="7" fillId="3" borderId="2" xfId="0" applyFont="1" applyFill="1" applyBorder="1"/>
    <xf numFmtId="0" fontId="7" fillId="3" borderId="0" xfId="0" applyFont="1" applyFill="1"/>
    <xf numFmtId="0" fontId="0" fillId="3" borderId="24" xfId="0" applyFill="1" applyBorder="1"/>
    <xf numFmtId="0" fontId="4" fillId="3" borderId="0" xfId="0" applyFont="1" applyFill="1"/>
    <xf numFmtId="0" fontId="0" fillId="3" borderId="25" xfId="0" applyFill="1" applyBorder="1"/>
    <xf numFmtId="0" fontId="4" fillId="3" borderId="9" xfId="0" applyFont="1" applyFill="1" applyBorder="1" applyAlignment="1">
      <alignment horizontal="right"/>
    </xf>
    <xf numFmtId="0" fontId="8" fillId="2" borderId="0" xfId="0" applyFont="1" applyFill="1"/>
    <xf numFmtId="0" fontId="4" fillId="3" borderId="10" xfId="0" applyFont="1" applyFill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SpeedUp'!$C$9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SpeedUp'!$D$8:$I$8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SpeedUp'!$D$9:$I$9</c:f>
              <c:numCache>
                <c:formatCode>General</c:formatCode>
                <c:ptCount val="6"/>
                <c:pt idx="0">
                  <c:v>1</c:v>
                </c:pt>
                <c:pt idx="1">
                  <c:v>1.9728931355490675</c:v>
                </c:pt>
                <c:pt idx="2">
                  <c:v>3.5562732016762797</c:v>
                </c:pt>
                <c:pt idx="3">
                  <c:v>4.5594706650763897</c:v>
                </c:pt>
                <c:pt idx="4">
                  <c:v>5.9917451597975848</c:v>
                </c:pt>
                <c:pt idx="5">
                  <c:v>5.5468603172848381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2-4E56-B12B-718382CB67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SpeedUp'!$C$12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SpeedUp'!$D$11:$I$11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SpeedUp'!$D$12:$I$12</c:f>
              <c:numCache>
                <c:formatCode>General</c:formatCode>
                <c:ptCount val="6"/>
                <c:pt idx="0">
                  <c:v>1</c:v>
                </c:pt>
                <c:pt idx="1">
                  <c:v>1.8471485366387821</c:v>
                </c:pt>
                <c:pt idx="2">
                  <c:v>3.4956057809564616</c:v>
                </c:pt>
                <c:pt idx="3">
                  <c:v>5.346010723759238</c:v>
                </c:pt>
                <c:pt idx="4">
                  <c:v>7.4549433903910396</c:v>
                </c:pt>
                <c:pt idx="5">
                  <c:v>6.8444023903096944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B-4E5A-8B97-278A9D71801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SpeedUp'!$D$14:$I$14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SpeedUp'!$D$15:$I$15</c:f>
              <c:numCache>
                <c:formatCode>General</c:formatCode>
                <c:ptCount val="6"/>
                <c:pt idx="0">
                  <c:v>1</c:v>
                </c:pt>
                <c:pt idx="1">
                  <c:v>2.183578570179237</c:v>
                </c:pt>
                <c:pt idx="2">
                  <c:v>4.6542647750632149</c:v>
                </c:pt>
                <c:pt idx="3">
                  <c:v>5.5921896573970873</c:v>
                </c:pt>
                <c:pt idx="4">
                  <c:v>6.7391349359708634</c:v>
                </c:pt>
                <c:pt idx="5">
                  <c:v>5.8955684813505327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5-40FE-8793-FF53A49F68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SpeedUp'!$C$18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SpeedUp'!$D$17:$I$17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SpeedUp'!$D$18:$I$18</c:f>
              <c:numCache>
                <c:formatCode>General</c:formatCode>
                <c:ptCount val="6"/>
                <c:pt idx="0">
                  <c:v>1</c:v>
                </c:pt>
                <c:pt idx="1">
                  <c:v>3.0390693282304779</c:v>
                </c:pt>
                <c:pt idx="2">
                  <c:v>5.4109326395174024</c:v>
                </c:pt>
                <c:pt idx="3">
                  <c:v>4.587753845190794</c:v>
                </c:pt>
                <c:pt idx="4">
                  <c:v>3.9644269493331885</c:v>
                </c:pt>
                <c:pt idx="5">
                  <c:v>2.9269499280512008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E-4F08-96FF-56B6774F01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SpeedUp'!$K$9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SpeedUp'!$L$8:$R$8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SpeedUp'!$L$9:$R$9</c:f>
              <c:numCache>
                <c:formatCode>General</c:formatCode>
                <c:ptCount val="7"/>
                <c:pt idx="1">
                  <c:v>1</c:v>
                </c:pt>
                <c:pt idx="2">
                  <c:v>2.2606723926493908</c:v>
                </c:pt>
                <c:pt idx="3">
                  <c:v>4.27926909930334</c:v>
                </c:pt>
                <c:pt idx="4">
                  <c:v>5.0213562228558777</c:v>
                </c:pt>
                <c:pt idx="5">
                  <c:v>6.0375626088731691</c:v>
                </c:pt>
                <c:pt idx="6">
                  <c:v>5.3034452792490665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2-4DD0-8A09-0B45463C5F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SpeedUp'!$C$77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SpeedUp'!$D$76:$I$76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SpeedUp'!$D$77:$I$77</c:f>
              <c:numCache>
                <c:formatCode>General</c:formatCode>
                <c:ptCount val="6"/>
                <c:pt idx="0">
                  <c:v>1</c:v>
                </c:pt>
                <c:pt idx="1">
                  <c:v>1.9486858573216521</c:v>
                </c:pt>
                <c:pt idx="2">
                  <c:v>2.8906663275686673</c:v>
                </c:pt>
                <c:pt idx="3">
                  <c:v>3.3401216609362603</c:v>
                </c:pt>
                <c:pt idx="4">
                  <c:v>4.0572927821803386</c:v>
                </c:pt>
                <c:pt idx="5">
                  <c:v>4.5777518224656655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0-4D75-9A6A-C379E8DEB3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SpeedUp'!$C$80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SpeedUp'!$D$79:$I$79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SpeedUp'!$D$80:$I$80</c:f>
              <c:numCache>
                <c:formatCode>General</c:formatCode>
                <c:ptCount val="6"/>
                <c:pt idx="0">
                  <c:v>1</c:v>
                </c:pt>
                <c:pt idx="1">
                  <c:v>1.6735746673027767</c:v>
                </c:pt>
                <c:pt idx="2">
                  <c:v>3.6072969267297594</c:v>
                </c:pt>
                <c:pt idx="3">
                  <c:v>4.6539139813940951</c:v>
                </c:pt>
                <c:pt idx="4">
                  <c:v>3.9832077453005459</c:v>
                </c:pt>
                <c:pt idx="5">
                  <c:v>3.7810878133099064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6-47C6-B59A-19AE844D26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SpeedUp'!$C$83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SpeedUp'!$D$82:$I$82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SpeedUp'!$D$83:$I$83</c:f>
              <c:numCache>
                <c:formatCode>General</c:formatCode>
                <c:ptCount val="6"/>
                <c:pt idx="0">
                  <c:v>1</c:v>
                </c:pt>
                <c:pt idx="1">
                  <c:v>2.1458240830292641</c:v>
                </c:pt>
                <c:pt idx="2">
                  <c:v>4.9851672537833496</c:v>
                </c:pt>
                <c:pt idx="3">
                  <c:v>5.8223306758898952</c:v>
                </c:pt>
                <c:pt idx="4">
                  <c:v>5.5340455999437843</c:v>
                </c:pt>
                <c:pt idx="5">
                  <c:v>5.1188046681467139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AB-4223-8B36-EC2F6F367B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SpeedUp'!$C$86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SpeedUp'!$D$85:$I$85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SpeedUp'!$D$86:$I$86</c:f>
              <c:numCache>
                <c:formatCode>General</c:formatCode>
                <c:ptCount val="6"/>
                <c:pt idx="0">
                  <c:v>1</c:v>
                </c:pt>
                <c:pt idx="1">
                  <c:v>2.5156906765727411</c:v>
                </c:pt>
                <c:pt idx="2">
                  <c:v>4.9997114317387688</c:v>
                </c:pt>
                <c:pt idx="3">
                  <c:v>5.1980322919621704</c:v>
                </c:pt>
                <c:pt idx="4">
                  <c:v>4.2976536269069463</c:v>
                </c:pt>
                <c:pt idx="5">
                  <c:v>3.4531528528073379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D-4D41-AE8B-1F91F9DCA0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SpeedUp'!$K$77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SpeedUp'!$L$76:$R$76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SpeedUp'!$L$77:$R$77</c:f>
              <c:numCache>
                <c:formatCode>General</c:formatCode>
                <c:ptCount val="7"/>
                <c:pt idx="1">
                  <c:v>1</c:v>
                </c:pt>
                <c:pt idx="2">
                  <c:v>2.0709438210566082</c:v>
                </c:pt>
                <c:pt idx="3">
                  <c:v>4.1207104849551364</c:v>
                </c:pt>
                <c:pt idx="4">
                  <c:v>4.7535996525456055</c:v>
                </c:pt>
                <c:pt idx="5">
                  <c:v>4.4680499385829036</c:v>
                </c:pt>
                <c:pt idx="6">
                  <c:v>4.2326992891824062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A-40BC-A714-CC3B59A4EFE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SpeedUp'!$C$145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SpeedUp'!$D$144:$I$144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SpeedUp'!$D$145:$I$145</c:f>
              <c:numCache>
                <c:formatCode>General</c:formatCode>
                <c:ptCount val="6"/>
                <c:pt idx="0">
                  <c:v>1</c:v>
                </c:pt>
                <c:pt idx="1">
                  <c:v>1.9642638928943266</c:v>
                </c:pt>
                <c:pt idx="2">
                  <c:v>3.5353708640150616</c:v>
                </c:pt>
                <c:pt idx="3">
                  <c:v>4.5739667869378646</c:v>
                </c:pt>
                <c:pt idx="4">
                  <c:v>6.0172346669861048</c:v>
                </c:pt>
                <c:pt idx="5">
                  <c:v>6.3911287116115592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D-434B-9FAA-2DF724F418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95287520878073"/>
          <c:y val="0.14209099346951093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SpeedUp'!$C$148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SpeedUp'!$D$147:$I$147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SpeedUp'!$D$148:$I$148</c:f>
              <c:numCache>
                <c:formatCode>General</c:formatCode>
                <c:ptCount val="6"/>
                <c:pt idx="0">
                  <c:v>1</c:v>
                </c:pt>
                <c:pt idx="1">
                  <c:v>1.8503274842932749</c:v>
                </c:pt>
                <c:pt idx="2">
                  <c:v>3.4903123390121746</c:v>
                </c:pt>
                <c:pt idx="3">
                  <c:v>5.3546415545031838</c:v>
                </c:pt>
                <c:pt idx="4">
                  <c:v>7.4861168720909506</c:v>
                </c:pt>
                <c:pt idx="5">
                  <c:v>7.3005840443825534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3-4E40-8FD2-C09BA09CF45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SpeedUp'!$C$151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SpeedUp'!$D$150:$I$150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SpeedUp'!$D$151:$I$151</c:f>
              <c:numCache>
                <c:formatCode>General</c:formatCode>
                <c:ptCount val="6"/>
                <c:pt idx="0">
                  <c:v>1</c:v>
                </c:pt>
                <c:pt idx="1">
                  <c:v>2.1606014576802113</c:v>
                </c:pt>
                <c:pt idx="2">
                  <c:v>4.6395842456072049</c:v>
                </c:pt>
                <c:pt idx="3">
                  <c:v>5.546393522622469</c:v>
                </c:pt>
                <c:pt idx="4">
                  <c:v>6.7713057279365092</c:v>
                </c:pt>
                <c:pt idx="5">
                  <c:v>6.1711621475244005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8-48CE-8A65-64A7E9A7FD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SpeedUp'!$C$154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SpeedUp'!$D$153:$I$153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SpeedUp'!$D$154:$I$154</c:f>
              <c:numCache>
                <c:formatCode>General</c:formatCode>
                <c:ptCount val="6"/>
                <c:pt idx="0">
                  <c:v>1</c:v>
                </c:pt>
                <c:pt idx="1">
                  <c:v>3.1983052690101772</c:v>
                </c:pt>
                <c:pt idx="2">
                  <c:v>5.7967420328374351</c:v>
                </c:pt>
                <c:pt idx="3">
                  <c:v>5.3141936661668217</c:v>
                </c:pt>
                <c:pt idx="4">
                  <c:v>4.4259633189540661</c:v>
                </c:pt>
                <c:pt idx="5">
                  <c:v>3.0348104226752706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C-4502-A19C-A19B8D577B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6196611787165"/>
          <c:y val="0.13654228927165551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SpeedUp'!$K$145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SpeedUp'!$L$144:$R$144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SpeedUp'!$L$145:$R$145</c:f>
              <c:numCache>
                <c:formatCode>General</c:formatCode>
                <c:ptCount val="7"/>
                <c:pt idx="1">
                  <c:v>1</c:v>
                </c:pt>
                <c:pt idx="2">
                  <c:v>2.2933745259694973</c:v>
                </c:pt>
                <c:pt idx="3">
                  <c:v>4.3655023703679694</c:v>
                </c:pt>
                <c:pt idx="4">
                  <c:v>5.1972988825575852</c:v>
                </c:pt>
                <c:pt idx="5">
                  <c:v>6.1751551464919086</c:v>
                </c:pt>
                <c:pt idx="6">
                  <c:v>5.724421331548446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A1-4FBC-A264-295997FC47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600 x 600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SpeedUp'!$C$213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SpeedUp'!$D$212:$I$212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SpeedUp'!$D$213:$I$213</c:f>
              <c:numCache>
                <c:formatCode>General</c:formatCode>
                <c:ptCount val="6"/>
                <c:pt idx="0">
                  <c:v>1</c:v>
                </c:pt>
                <c:pt idx="1">
                  <c:v>1.8544051158812269</c:v>
                </c:pt>
                <c:pt idx="2">
                  <c:v>2.760748286944394</c:v>
                </c:pt>
                <c:pt idx="3">
                  <c:v>3.8447409534265087</c:v>
                </c:pt>
                <c:pt idx="4">
                  <c:v>5.7026993173420175</c:v>
                </c:pt>
                <c:pt idx="5">
                  <c:v>5.9967729188619598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85-44F4-81B6-2A85E66101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SpeedUp'!$C$216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SpeedUp'!$D$215:$I$215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SpeedUp'!$D$216:$I$216</c:f>
              <c:numCache>
                <c:formatCode>General</c:formatCode>
                <c:ptCount val="6"/>
                <c:pt idx="0">
                  <c:v>1</c:v>
                </c:pt>
                <c:pt idx="1">
                  <c:v>1.8381475310229658</c:v>
                </c:pt>
                <c:pt idx="2">
                  <c:v>3.473481419912444</c:v>
                </c:pt>
                <c:pt idx="3">
                  <c:v>4.9808641195929395</c:v>
                </c:pt>
                <c:pt idx="4">
                  <c:v>7.068728005103174</c:v>
                </c:pt>
                <c:pt idx="5">
                  <c:v>7.9565961017167934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58-48B8-BDCA-8502905A148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SpeedUp'!$C$219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SpeedUp'!$D$218:$I$218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SpeedUp'!$D$219:$I$219</c:f>
              <c:numCache>
                <c:formatCode>General</c:formatCode>
                <c:ptCount val="6"/>
                <c:pt idx="0">
                  <c:v>1</c:v>
                </c:pt>
                <c:pt idx="1">
                  <c:v>1.845992010762022</c:v>
                </c:pt>
                <c:pt idx="2">
                  <c:v>3.9583067038398956</c:v>
                </c:pt>
                <c:pt idx="3">
                  <c:v>5.0674821891493425</c:v>
                </c:pt>
                <c:pt idx="4">
                  <c:v>7.3935126905560642</c:v>
                </c:pt>
                <c:pt idx="5">
                  <c:v>6.262526988344943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A-47B3-A292-5527120C73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</a:t>
            </a:r>
            <a:r>
              <a:rPr lang="en-US" baseline="0"/>
              <a:t> Número de Hilos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SpeedUp'!$C$222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SpeedUp'!$D$221:$I$221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SpeedUp'!$D$222:$I$222</c:f>
              <c:numCache>
                <c:formatCode>General</c:formatCode>
                <c:ptCount val="6"/>
                <c:pt idx="0">
                  <c:v>1</c:v>
                </c:pt>
                <c:pt idx="1">
                  <c:v>1.8837365319684105</c:v>
                </c:pt>
                <c:pt idx="2">
                  <c:v>3.5295248086574382</c:v>
                </c:pt>
                <c:pt idx="3">
                  <c:v>4.3359707449353255</c:v>
                </c:pt>
                <c:pt idx="4">
                  <c:v>5.8066514096193496</c:v>
                </c:pt>
                <c:pt idx="5">
                  <c:v>3.7159538380533954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32-4B2B-9E58-2850204B01D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SpeedUpp</a:t>
            </a:r>
            <a:r>
              <a:rPr lang="en-US" baseline="0"/>
              <a:t> Promedio</a:t>
            </a:r>
            <a:r>
              <a:rPr lang="en-US"/>
              <a:t> vs</a:t>
            </a:r>
            <a:r>
              <a:rPr lang="en-US" baseline="0"/>
              <a:t> Número de Hilos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793923876670227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SpeedUp'!$K$213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SpeedUp'!$L$212:$R$212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SpeedUp'!$L$213:$R$213</c:f>
              <c:numCache>
                <c:formatCode>General</c:formatCode>
                <c:ptCount val="7"/>
                <c:pt idx="1">
                  <c:v>1</c:v>
                </c:pt>
                <c:pt idx="2">
                  <c:v>1.8555702974086563</c:v>
                </c:pt>
                <c:pt idx="3">
                  <c:v>3.4305153048385431</c:v>
                </c:pt>
                <c:pt idx="4">
                  <c:v>4.5572645017760287</c:v>
                </c:pt>
                <c:pt idx="5">
                  <c:v>6.4928978556551513</c:v>
                </c:pt>
                <c:pt idx="6">
                  <c:v>5.9829624617442727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9-47CC-9036-EC0C2FB94B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 m</a:t>
            </a:r>
            <a:r>
              <a:rPr lang="en-US" baseline="0"/>
              <a:t>atrices de 600 x 600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Tiempos'!$D$6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Tiempos'!$E$6:$J$6</c:f>
              <c:numCache>
                <c:formatCode>General</c:formatCode>
                <c:ptCount val="6"/>
                <c:pt idx="0">
                  <c:v>401393</c:v>
                </c:pt>
                <c:pt idx="1">
                  <c:v>203454</c:v>
                </c:pt>
                <c:pt idx="2">
                  <c:v>112869</c:v>
                </c:pt>
                <c:pt idx="3">
                  <c:v>88035</c:v>
                </c:pt>
                <c:pt idx="4">
                  <c:v>66991</c:v>
                </c:pt>
                <c:pt idx="5">
                  <c:v>72364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7-4E63-A010-A3B062458423}"/>
            </c:ext>
          </c:extLst>
        </c:ser>
        <c:ser>
          <c:idx val="1"/>
          <c:order val="1"/>
          <c:tx>
            <c:strRef>
              <c:f>'Gráficas Tiempos'!$D$7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Tiempos'!$E$7:$J$7</c:f>
              <c:numCache>
                <c:formatCode>General</c:formatCode>
                <c:ptCount val="6"/>
                <c:pt idx="0">
                  <c:v>113661</c:v>
                </c:pt>
                <c:pt idx="1">
                  <c:v>58327</c:v>
                </c:pt>
                <c:pt idx="2">
                  <c:v>39320</c:v>
                </c:pt>
                <c:pt idx="3">
                  <c:v>34029</c:v>
                </c:pt>
                <c:pt idx="4">
                  <c:v>28014</c:v>
                </c:pt>
                <c:pt idx="5">
                  <c:v>24829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37-4E63-A010-A3B062458423}"/>
            </c:ext>
          </c:extLst>
        </c:ser>
        <c:ser>
          <c:idx val="2"/>
          <c:order val="2"/>
          <c:tx>
            <c:strRef>
              <c:f>'Gráficas Tiempos'!$D$8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Tiempos'!$E$8:$J$8</c:f>
              <c:numCache>
                <c:formatCode>General</c:formatCode>
                <c:ptCount val="6"/>
                <c:pt idx="0">
                  <c:v>401855</c:v>
                </c:pt>
                <c:pt idx="1">
                  <c:v>204583</c:v>
                </c:pt>
                <c:pt idx="2">
                  <c:v>113667</c:v>
                </c:pt>
                <c:pt idx="3">
                  <c:v>87857</c:v>
                </c:pt>
                <c:pt idx="4">
                  <c:v>66784</c:v>
                </c:pt>
                <c:pt idx="5">
                  <c:v>62877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37-4E63-A010-A3B062458423}"/>
            </c:ext>
          </c:extLst>
        </c:ser>
        <c:ser>
          <c:idx val="3"/>
          <c:order val="3"/>
          <c:tx>
            <c:strRef>
              <c:f>'Gráficas Tiempos'!$D$9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Tiempos'!$E$9:$J$9</c:f>
              <c:numCache>
                <c:formatCode>General</c:formatCode>
                <c:ptCount val="6"/>
                <c:pt idx="0">
                  <c:v>91055</c:v>
                </c:pt>
                <c:pt idx="1">
                  <c:v>49102</c:v>
                </c:pt>
                <c:pt idx="2">
                  <c:v>32982</c:v>
                </c:pt>
                <c:pt idx="3">
                  <c:v>23683</c:v>
                </c:pt>
                <c:pt idx="4">
                  <c:v>15967</c:v>
                </c:pt>
                <c:pt idx="5">
                  <c:v>15184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37-4E63-A010-A3B062458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 m</a:t>
            </a:r>
            <a:r>
              <a:rPr lang="en-US" baseline="0"/>
              <a:t>atrices de 1200 x 1200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Tiempos'!$D$44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Tiempos'!$E$44:$J$44</c:f>
              <c:numCache>
                <c:formatCode>General</c:formatCode>
                <c:ptCount val="6"/>
                <c:pt idx="0">
                  <c:v>4242407</c:v>
                </c:pt>
                <c:pt idx="1">
                  <c:v>2296733</c:v>
                </c:pt>
                <c:pt idx="2">
                  <c:v>1213640</c:v>
                </c:pt>
                <c:pt idx="3">
                  <c:v>793565</c:v>
                </c:pt>
                <c:pt idx="4">
                  <c:v>569073</c:v>
                </c:pt>
                <c:pt idx="5">
                  <c:v>619836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3-42C7-8ABD-FDA636732659}"/>
            </c:ext>
          </c:extLst>
        </c:ser>
        <c:ser>
          <c:idx val="1"/>
          <c:order val="1"/>
          <c:tx>
            <c:strRef>
              <c:f>'Gráficas Tiempos'!$D$45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Tiempos'!$E$45:$J$45</c:f>
              <c:numCache>
                <c:formatCode>General</c:formatCode>
                <c:ptCount val="6"/>
                <c:pt idx="0">
                  <c:v>1725904</c:v>
                </c:pt>
                <c:pt idx="1">
                  <c:v>1031268</c:v>
                </c:pt>
                <c:pt idx="2">
                  <c:v>478448</c:v>
                </c:pt>
                <c:pt idx="3">
                  <c:v>370850</c:v>
                </c:pt>
                <c:pt idx="4">
                  <c:v>433295</c:v>
                </c:pt>
                <c:pt idx="5">
                  <c:v>456457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A3-42C7-8ABD-FDA636732659}"/>
            </c:ext>
          </c:extLst>
        </c:ser>
        <c:ser>
          <c:idx val="2"/>
          <c:order val="2"/>
          <c:tx>
            <c:strRef>
              <c:f>'Gráficas Tiempos'!$D$46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Tiempos'!$E$46:$J$46</c:f>
              <c:numCache>
                <c:formatCode>General</c:formatCode>
                <c:ptCount val="6"/>
                <c:pt idx="0">
                  <c:v>4241267</c:v>
                </c:pt>
                <c:pt idx="1">
                  <c:v>2292171</c:v>
                </c:pt>
                <c:pt idx="2">
                  <c:v>1215154</c:v>
                </c:pt>
                <c:pt idx="3">
                  <c:v>792073</c:v>
                </c:pt>
                <c:pt idx="4">
                  <c:v>566551</c:v>
                </c:pt>
                <c:pt idx="5">
                  <c:v>580949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A3-42C7-8ABD-FDA636732659}"/>
            </c:ext>
          </c:extLst>
        </c:ser>
        <c:ser>
          <c:idx val="3"/>
          <c:order val="3"/>
          <c:tx>
            <c:strRef>
              <c:f>'Gráficas Tiempos'!$D$47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Tiempos'!$E$47:$J$47</c:f>
              <c:numCache>
                <c:formatCode>General</c:formatCode>
                <c:ptCount val="6"/>
                <c:pt idx="0">
                  <c:v>986236</c:v>
                </c:pt>
                <c:pt idx="1">
                  <c:v>536538</c:v>
                </c:pt>
                <c:pt idx="2">
                  <c:v>283933</c:v>
                </c:pt>
                <c:pt idx="3">
                  <c:v>198005</c:v>
                </c:pt>
                <c:pt idx="4">
                  <c:v>139521</c:v>
                </c:pt>
                <c:pt idx="5">
                  <c:v>123952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A3-42C7-8ABD-FDA636732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para</a:t>
            </a:r>
            <a:r>
              <a:rPr lang="en-US" baseline="0"/>
              <a:t> matrices de 2400 x 2400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Tiempos'!$D$82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Tiempos'!$E$82:$J$82</c:f>
              <c:numCache>
                <c:formatCode>General</c:formatCode>
                <c:ptCount val="6"/>
                <c:pt idx="0">
                  <c:v>49537467</c:v>
                </c:pt>
                <c:pt idx="1">
                  <c:v>22686368</c:v>
                </c:pt>
                <c:pt idx="2">
                  <c:v>10643457</c:v>
                </c:pt>
                <c:pt idx="3">
                  <c:v>8858331</c:v>
                </c:pt>
                <c:pt idx="4">
                  <c:v>7350716</c:v>
                </c:pt>
                <c:pt idx="5">
                  <c:v>8402492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5-4E02-809F-1823FB8DA9D1}"/>
            </c:ext>
          </c:extLst>
        </c:ser>
        <c:ser>
          <c:idx val="1"/>
          <c:order val="1"/>
          <c:tx>
            <c:strRef>
              <c:f>'Gráficas Tiempos'!$D$83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Tiempos'!$E$83:$J$83</c:f>
              <c:numCache>
                <c:formatCode>General</c:formatCode>
                <c:ptCount val="6"/>
                <c:pt idx="0">
                  <c:v>46858618</c:v>
                </c:pt>
                <c:pt idx="1">
                  <c:v>21837120</c:v>
                </c:pt>
                <c:pt idx="2">
                  <c:v>9399608</c:v>
                </c:pt>
                <c:pt idx="3">
                  <c:v>8048086</c:v>
                </c:pt>
                <c:pt idx="4">
                  <c:v>8467335</c:v>
                </c:pt>
                <c:pt idx="5">
                  <c:v>9154211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5-4E02-809F-1823FB8DA9D1}"/>
            </c:ext>
          </c:extLst>
        </c:ser>
        <c:ser>
          <c:idx val="2"/>
          <c:order val="2"/>
          <c:tx>
            <c:strRef>
              <c:f>'Gráficas Tiempos'!$D$84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Tiempos'!$E$84:$J$84</c:f>
              <c:numCache>
                <c:formatCode>General</c:formatCode>
                <c:ptCount val="6"/>
                <c:pt idx="0">
                  <c:v>49554142</c:v>
                </c:pt>
                <c:pt idx="1">
                  <c:v>22935346</c:v>
                </c:pt>
                <c:pt idx="2">
                  <c:v>10680729</c:v>
                </c:pt>
                <c:pt idx="3">
                  <c:v>8934480</c:v>
                </c:pt>
                <c:pt idx="4">
                  <c:v>7318255</c:v>
                </c:pt>
                <c:pt idx="5">
                  <c:v>8029953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45-4E02-809F-1823FB8DA9D1}"/>
            </c:ext>
          </c:extLst>
        </c:ser>
        <c:ser>
          <c:idx val="3"/>
          <c:order val="3"/>
          <c:tx>
            <c:strRef>
              <c:f>'Gráficas Tiempos'!$D$85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Tiempos'!$E$85:$J$85</c:f>
              <c:numCache>
                <c:formatCode>General</c:formatCode>
                <c:ptCount val="6"/>
                <c:pt idx="0">
                  <c:v>8974364</c:v>
                </c:pt>
                <c:pt idx="1">
                  <c:v>4861540</c:v>
                </c:pt>
                <c:pt idx="2">
                  <c:v>2267223</c:v>
                </c:pt>
                <c:pt idx="3">
                  <c:v>1770971</c:v>
                </c:pt>
                <c:pt idx="4">
                  <c:v>1213816</c:v>
                </c:pt>
                <c:pt idx="5">
                  <c:v>1433026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45-4E02-809F-1823FB8DA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promedio de Ejecución VS </a:t>
            </a:r>
            <a:r>
              <a:rPr lang="en-US" baseline="0"/>
              <a:t>Número de Hilos para matrices de 4800 x 4800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0737324152472"/>
          <c:y val="0.13930555555555557"/>
          <c:w val="0.74992744720794569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Tiempos'!$D$120</c:f>
              <c:strCache>
                <c:ptCount val="1"/>
                <c:pt idx="0">
                  <c:v>Clásica Fork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Tiempos'!$E$120:$J$120</c:f>
              <c:numCache>
                <c:formatCode>General</c:formatCode>
                <c:ptCount val="6"/>
                <c:pt idx="0">
                  <c:v>730248566</c:v>
                </c:pt>
                <c:pt idx="1">
                  <c:v>240286906</c:v>
                </c:pt>
                <c:pt idx="2">
                  <c:v>134957985</c:v>
                </c:pt>
                <c:pt idx="3">
                  <c:v>159173441</c:v>
                </c:pt>
                <c:pt idx="4">
                  <c:v>184200283</c:v>
                </c:pt>
                <c:pt idx="5">
                  <c:v>249491308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A-4824-A776-656C04E10B8E}"/>
            </c:ext>
          </c:extLst>
        </c:ser>
        <c:ser>
          <c:idx val="1"/>
          <c:order val="1"/>
          <c:tx>
            <c:strRef>
              <c:f>'Gráficas Tiempos'!$D$121</c:f>
              <c:strCache>
                <c:ptCount val="1"/>
                <c:pt idx="0">
                  <c:v>Clásica OpenMP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Tiempos'!$E$121:$J$121</c:f>
              <c:numCache>
                <c:formatCode>General</c:formatCode>
                <c:ptCount val="6"/>
                <c:pt idx="0">
                  <c:v>623213445</c:v>
                </c:pt>
                <c:pt idx="1">
                  <c:v>247730554</c:v>
                </c:pt>
                <c:pt idx="2">
                  <c:v>124649883</c:v>
                </c:pt>
                <c:pt idx="3">
                  <c:v>119894108</c:v>
                </c:pt>
                <c:pt idx="4">
                  <c:v>145012488</c:v>
                </c:pt>
                <c:pt idx="5">
                  <c:v>180476646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A-4824-A776-656C04E10B8E}"/>
            </c:ext>
          </c:extLst>
        </c:ser>
        <c:ser>
          <c:idx val="2"/>
          <c:order val="2"/>
          <c:tx>
            <c:strRef>
              <c:f>'Gráficas Tiempos'!$D$122</c:f>
              <c:strCache>
                <c:ptCount val="1"/>
                <c:pt idx="0">
                  <c:v>Clásica POSIX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Tiempos'!$E$122:$J$122</c:f>
              <c:numCache>
                <c:formatCode>General</c:formatCode>
                <c:ptCount val="6"/>
                <c:pt idx="0">
                  <c:v>752917908</c:v>
                </c:pt>
                <c:pt idx="1">
                  <c:v>235411521</c:v>
                </c:pt>
                <c:pt idx="2">
                  <c:v>129886392</c:v>
                </c:pt>
                <c:pt idx="3">
                  <c:v>141680555</c:v>
                </c:pt>
                <c:pt idx="4">
                  <c:v>170113906</c:v>
                </c:pt>
                <c:pt idx="5">
                  <c:v>248093885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5A-4824-A776-656C04E10B8E}"/>
            </c:ext>
          </c:extLst>
        </c:ser>
        <c:ser>
          <c:idx val="3"/>
          <c:order val="3"/>
          <c:tx>
            <c:strRef>
              <c:f>'Gráficas Tiempos'!$D$123</c:f>
              <c:strCache>
                <c:ptCount val="1"/>
                <c:pt idx="0">
                  <c:v>Filas OpenMP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Tiempos'!$E$123:$J$123</c:f>
              <c:numCache>
                <c:formatCode>General</c:formatCode>
                <c:ptCount val="6"/>
                <c:pt idx="0">
                  <c:v>64575660</c:v>
                </c:pt>
                <c:pt idx="1">
                  <c:v>34280622</c:v>
                </c:pt>
                <c:pt idx="2">
                  <c:v>18295851</c:v>
                </c:pt>
                <c:pt idx="3">
                  <c:v>14893011</c:v>
                </c:pt>
                <c:pt idx="4">
                  <c:v>11120981</c:v>
                </c:pt>
                <c:pt idx="5">
                  <c:v>17377950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5A-4824-A776-656C04E10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635728"/>
        <c:axId val="1155633328"/>
      </c:lineChart>
      <c:catAx>
        <c:axId val="11556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3328"/>
        <c:crosses val="autoZero"/>
        <c:auto val="1"/>
        <c:lblAlgn val="ctr"/>
        <c:lblOffset val="100"/>
        <c:noMultiLvlLbl val="0"/>
      </c:catAx>
      <c:valAx>
        <c:axId val="11556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563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6943010172723"/>
          <c:y val="0.12677079055874915"/>
          <c:w val="0.12230569898272764"/>
          <c:h val="0.73361667355178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12245</xdr:colOff>
      <xdr:row>20</xdr:row>
      <xdr:rowOff>3392</xdr:rowOff>
    </xdr:from>
    <xdr:to>
      <xdr:col>11</xdr:col>
      <xdr:colOff>758371</xdr:colOff>
      <xdr:row>44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F68465-1518-4B3C-A5D5-6379B26EA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20</xdr:row>
      <xdr:rowOff>1</xdr:rowOff>
    </xdr:from>
    <xdr:to>
      <xdr:col>24</xdr:col>
      <xdr:colOff>0</xdr:colOff>
      <xdr:row>43</xdr:row>
      <xdr:rowOff>178037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C1576D4-C1CF-4234-8548-CE076FAF8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10430</xdr:colOff>
      <xdr:row>45</xdr:row>
      <xdr:rowOff>0</xdr:rowOff>
    </xdr:from>
    <xdr:to>
      <xdr:col>11</xdr:col>
      <xdr:colOff>756479</xdr:colOff>
      <xdr:row>69</xdr:row>
      <xdr:rowOff>5522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9B2D09A-CE6B-4037-80C4-C09630279B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760186</xdr:colOff>
      <xdr:row>45</xdr:row>
      <xdr:rowOff>6350</xdr:rowOff>
    </xdr:from>
    <xdr:to>
      <xdr:col>23</xdr:col>
      <xdr:colOff>755650</xdr:colOff>
      <xdr:row>68</xdr:row>
      <xdr:rowOff>177800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5C468F1-E53F-4847-9260-4C7731912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32</xdr:row>
      <xdr:rowOff>172357</xdr:rowOff>
    </xdr:from>
    <xdr:to>
      <xdr:col>36</xdr:col>
      <xdr:colOff>0</xdr:colOff>
      <xdr:row>57</xdr:row>
      <xdr:rowOff>14941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95920F9-41EF-43DC-80E1-85288AC7B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12245</xdr:colOff>
      <xdr:row>88</xdr:row>
      <xdr:rowOff>3392</xdr:rowOff>
    </xdr:from>
    <xdr:to>
      <xdr:col>11</xdr:col>
      <xdr:colOff>758371</xdr:colOff>
      <xdr:row>112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103AF71-687F-4EBA-A5E3-FB20B2241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88</xdr:row>
      <xdr:rowOff>1</xdr:rowOff>
    </xdr:from>
    <xdr:to>
      <xdr:col>24</xdr:col>
      <xdr:colOff>0</xdr:colOff>
      <xdr:row>111</xdr:row>
      <xdr:rowOff>178037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D1CF69E-0389-48D0-8999-914AF4FCD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10430</xdr:colOff>
      <xdr:row>113</xdr:row>
      <xdr:rowOff>0</xdr:rowOff>
    </xdr:from>
    <xdr:to>
      <xdr:col>11</xdr:col>
      <xdr:colOff>756479</xdr:colOff>
      <xdr:row>137</xdr:row>
      <xdr:rowOff>5522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678BC50-35FD-48CB-A1DC-608FB52E2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760186</xdr:colOff>
      <xdr:row>113</xdr:row>
      <xdr:rowOff>6350</xdr:rowOff>
    </xdr:from>
    <xdr:to>
      <xdr:col>23</xdr:col>
      <xdr:colOff>755650</xdr:colOff>
      <xdr:row>136</xdr:row>
      <xdr:rowOff>177800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5C8C186-03F2-47BE-A7F1-D26F32BA4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743857</xdr:colOff>
      <xdr:row>100</xdr:row>
      <xdr:rowOff>145143</xdr:rowOff>
    </xdr:from>
    <xdr:to>
      <xdr:col>35</xdr:col>
      <xdr:colOff>743857</xdr:colOff>
      <xdr:row>124</xdr:row>
      <xdr:rowOff>169155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9DDE978-282D-40EF-98D9-5513BCEA2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12245</xdr:colOff>
      <xdr:row>156</xdr:row>
      <xdr:rowOff>3392</xdr:rowOff>
    </xdr:from>
    <xdr:to>
      <xdr:col>11</xdr:col>
      <xdr:colOff>758371</xdr:colOff>
      <xdr:row>180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C1F6FC5-AD76-499A-A0C6-0D1930628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156</xdr:row>
      <xdr:rowOff>1</xdr:rowOff>
    </xdr:from>
    <xdr:to>
      <xdr:col>24</xdr:col>
      <xdr:colOff>0</xdr:colOff>
      <xdr:row>179</xdr:row>
      <xdr:rowOff>178037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95EAF62-3D43-4CFD-AC20-255E78810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10430</xdr:colOff>
      <xdr:row>181</xdr:row>
      <xdr:rowOff>0</xdr:rowOff>
    </xdr:from>
    <xdr:to>
      <xdr:col>11</xdr:col>
      <xdr:colOff>756479</xdr:colOff>
      <xdr:row>205</xdr:row>
      <xdr:rowOff>5522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B95AD34-BD84-42B1-A2EB-85ADBC8FE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760186</xdr:colOff>
      <xdr:row>181</xdr:row>
      <xdr:rowOff>6350</xdr:rowOff>
    </xdr:from>
    <xdr:to>
      <xdr:col>23</xdr:col>
      <xdr:colOff>755650</xdr:colOff>
      <xdr:row>204</xdr:row>
      <xdr:rowOff>177800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B1AAD86-FC40-4A09-9627-4CF4E9170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743857</xdr:colOff>
      <xdr:row>168</xdr:row>
      <xdr:rowOff>145143</xdr:rowOff>
    </xdr:from>
    <xdr:to>
      <xdr:col>35</xdr:col>
      <xdr:colOff>743857</xdr:colOff>
      <xdr:row>192</xdr:row>
      <xdr:rowOff>169155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92EC430-5F70-4F28-9D33-D73DCFD5F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12245</xdr:colOff>
      <xdr:row>224</xdr:row>
      <xdr:rowOff>3392</xdr:rowOff>
    </xdr:from>
    <xdr:to>
      <xdr:col>11</xdr:col>
      <xdr:colOff>758371</xdr:colOff>
      <xdr:row>248</xdr:row>
      <xdr:rowOff>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CE7BF2A2-99D6-4215-BCCE-705C294D0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0</xdr:colOff>
      <xdr:row>224</xdr:row>
      <xdr:rowOff>1</xdr:rowOff>
    </xdr:from>
    <xdr:to>
      <xdr:col>24</xdr:col>
      <xdr:colOff>0</xdr:colOff>
      <xdr:row>247</xdr:row>
      <xdr:rowOff>178037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41CDC8F6-4D3B-4D1B-8D42-5CCD78056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10430</xdr:colOff>
      <xdr:row>249</xdr:row>
      <xdr:rowOff>0</xdr:rowOff>
    </xdr:from>
    <xdr:to>
      <xdr:col>11</xdr:col>
      <xdr:colOff>756479</xdr:colOff>
      <xdr:row>273</xdr:row>
      <xdr:rowOff>5522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65F0A8E4-F293-441B-91A7-64A44E911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760186</xdr:colOff>
      <xdr:row>249</xdr:row>
      <xdr:rowOff>6350</xdr:rowOff>
    </xdr:from>
    <xdr:to>
      <xdr:col>23</xdr:col>
      <xdr:colOff>755650</xdr:colOff>
      <xdr:row>272</xdr:row>
      <xdr:rowOff>177800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2805AF3C-EAF8-40C3-AEB1-143FF314D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743857</xdr:colOff>
      <xdr:row>236</xdr:row>
      <xdr:rowOff>145143</xdr:rowOff>
    </xdr:from>
    <xdr:to>
      <xdr:col>35</xdr:col>
      <xdr:colOff>743857</xdr:colOff>
      <xdr:row>260</xdr:row>
      <xdr:rowOff>169155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40FBCDE-C900-4108-9B2A-F9E8BFC1D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-1</xdr:rowOff>
    </xdr:from>
    <xdr:to>
      <xdr:col>14</xdr:col>
      <xdr:colOff>0</xdr:colOff>
      <xdr:row>36</xdr:row>
      <xdr:rowOff>-1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51B22B-6B47-47C4-94A0-80CC9062B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48</xdr:row>
      <xdr:rowOff>0</xdr:rowOff>
    </xdr:from>
    <xdr:to>
      <xdr:col>14</xdr:col>
      <xdr:colOff>0</xdr:colOff>
      <xdr:row>74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30C1AE-A11F-4AEB-863A-AC9AC7E8A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86</xdr:row>
      <xdr:rowOff>0</xdr:rowOff>
    </xdr:from>
    <xdr:to>
      <xdr:col>14</xdr:col>
      <xdr:colOff>0</xdr:colOff>
      <xdr:row>112</xdr:row>
      <xdr:rowOff>-1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9253A1-4A62-4AEC-88C2-55651A0F0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124</xdr:row>
      <xdr:rowOff>0</xdr:rowOff>
    </xdr:from>
    <xdr:to>
      <xdr:col>14</xdr:col>
      <xdr:colOff>0</xdr:colOff>
      <xdr:row>150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A2641C-1B6A-43C7-860E-AC2DD5353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4F4A-6F75-42C8-AFA7-27988206E9C1}">
  <dimension ref="B1:AI146"/>
  <sheetViews>
    <sheetView topLeftCell="A109" zoomScale="70" zoomScaleNormal="70" workbookViewId="0">
      <selection activeCell="AH113" sqref="AH113:AH142"/>
    </sheetView>
  </sheetViews>
  <sheetFormatPr baseColWidth="10" defaultRowHeight="14.4" x14ac:dyDescent="0.3"/>
  <cols>
    <col min="2" max="2" width="2.5546875" customWidth="1"/>
    <col min="3" max="3" width="24.44140625" customWidth="1"/>
    <col min="4" max="4" width="16.5546875" customWidth="1"/>
    <col min="5" max="5" width="10.77734375" customWidth="1"/>
    <col min="7" max="7" width="10.88671875" customWidth="1"/>
    <col min="11" max="11" width="16.5546875" customWidth="1"/>
    <col min="19" max="19" width="16.5546875" customWidth="1"/>
    <col min="26" max="26" width="10.88671875" customWidth="1"/>
    <col min="27" max="27" width="17.77734375" customWidth="1"/>
    <col min="28" max="28" width="7.5546875" customWidth="1"/>
    <col min="29" max="29" width="17.88671875" customWidth="1"/>
    <col min="30" max="30" width="13.88671875" customWidth="1"/>
    <col min="35" max="35" width="1.88671875" customWidth="1"/>
    <col min="60" max="60" width="4.33203125" customWidth="1"/>
    <col min="67" max="67" width="10.88671875" customWidth="1"/>
  </cols>
  <sheetData>
    <row r="1" spans="2:35" ht="15" thickBot="1" x14ac:dyDescent="0.35"/>
    <row r="2" spans="2:35" ht="36.6" x14ac:dyDescent="0.7">
      <c r="B2" s="33" t="s">
        <v>40</v>
      </c>
      <c r="C2" s="15"/>
      <c r="D2" s="15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7"/>
    </row>
    <row r="3" spans="2:35" ht="15" thickBot="1" x14ac:dyDescent="0.35">
      <c r="B3" s="34"/>
      <c r="C3" s="19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1"/>
    </row>
    <row r="4" spans="2:35" x14ac:dyDescent="0.3">
      <c r="B4" s="30"/>
      <c r="C4" s="44" t="s">
        <v>0</v>
      </c>
      <c r="D4" s="35"/>
      <c r="E4" s="35" t="s">
        <v>1</v>
      </c>
      <c r="F4" s="35" t="s">
        <v>2</v>
      </c>
      <c r="G4" s="35" t="s">
        <v>3</v>
      </c>
      <c r="H4" s="35" t="s">
        <v>4</v>
      </c>
      <c r="I4" s="35" t="s">
        <v>5</v>
      </c>
      <c r="J4" s="35" t="s">
        <v>6</v>
      </c>
      <c r="K4" s="46" t="s">
        <v>7</v>
      </c>
      <c r="L4" s="46"/>
      <c r="M4" s="35" t="s">
        <v>1</v>
      </c>
      <c r="N4" s="35" t="s">
        <v>2</v>
      </c>
      <c r="O4" s="35" t="s">
        <v>3</v>
      </c>
      <c r="P4" s="35" t="s">
        <v>4</v>
      </c>
      <c r="Q4" s="35" t="s">
        <v>5</v>
      </c>
      <c r="R4" s="35" t="s">
        <v>6</v>
      </c>
      <c r="S4" s="46" t="s">
        <v>8</v>
      </c>
      <c r="T4" s="46"/>
      <c r="U4" s="35" t="s">
        <v>1</v>
      </c>
      <c r="V4" s="35" t="s">
        <v>2</v>
      </c>
      <c r="W4" s="35" t="s">
        <v>3</v>
      </c>
      <c r="X4" s="35" t="s">
        <v>4</v>
      </c>
      <c r="Y4" s="35" t="s">
        <v>5</v>
      </c>
      <c r="Z4" s="35" t="s">
        <v>6</v>
      </c>
      <c r="AA4" s="46" t="s">
        <v>9</v>
      </c>
      <c r="AB4" s="46"/>
      <c r="AC4" s="35" t="s">
        <v>1</v>
      </c>
      <c r="AD4" s="35" t="s">
        <v>2</v>
      </c>
      <c r="AE4" s="35" t="s">
        <v>3</v>
      </c>
      <c r="AF4" s="35" t="s">
        <v>4</v>
      </c>
      <c r="AG4" s="35" t="s">
        <v>5</v>
      </c>
      <c r="AH4" s="36" t="s">
        <v>6</v>
      </c>
      <c r="AI4" s="21"/>
    </row>
    <row r="5" spans="2:35" x14ac:dyDescent="0.3">
      <c r="B5" s="30"/>
      <c r="C5" s="23"/>
      <c r="D5" s="42" t="s">
        <v>10</v>
      </c>
      <c r="E5" s="41">
        <v>399434</v>
      </c>
      <c r="F5" s="41">
        <v>203379</v>
      </c>
      <c r="G5" s="41">
        <v>112735</v>
      </c>
      <c r="H5" s="41">
        <v>84431</v>
      </c>
      <c r="I5" s="41">
        <v>68488</v>
      </c>
      <c r="J5" s="41">
        <v>69319</v>
      </c>
      <c r="K5" s="20"/>
      <c r="L5" s="20"/>
      <c r="M5" s="41">
        <v>4247881</v>
      </c>
      <c r="N5" s="41">
        <v>2298973</v>
      </c>
      <c r="O5" s="41">
        <v>1221439</v>
      </c>
      <c r="P5" s="41">
        <v>788446</v>
      </c>
      <c r="Q5" s="41">
        <v>566728</v>
      </c>
      <c r="R5" s="41">
        <v>594863</v>
      </c>
      <c r="S5" s="20"/>
      <c r="T5" s="20"/>
      <c r="U5" s="41">
        <v>49549856</v>
      </c>
      <c r="V5" s="41">
        <v>22644654</v>
      </c>
      <c r="W5" s="41">
        <v>10757941</v>
      </c>
      <c r="X5" s="41">
        <v>8859984</v>
      </c>
      <c r="Y5" s="41">
        <v>7494837</v>
      </c>
      <c r="Z5" s="41">
        <v>8394127</v>
      </c>
      <c r="AA5" s="20"/>
      <c r="AB5" s="20"/>
      <c r="AC5" s="41">
        <v>799497368</v>
      </c>
      <c r="AD5" s="41">
        <v>237554543</v>
      </c>
      <c r="AE5" s="41">
        <v>150409195</v>
      </c>
      <c r="AF5" s="41">
        <v>162892146</v>
      </c>
      <c r="AG5" s="41">
        <v>174272585</v>
      </c>
      <c r="AH5" s="43">
        <v>303958671</v>
      </c>
      <c r="AI5" s="21"/>
    </row>
    <row r="6" spans="2:35" x14ac:dyDescent="0.3">
      <c r="B6" s="30"/>
      <c r="C6" s="23"/>
      <c r="D6" s="42" t="s">
        <v>11</v>
      </c>
      <c r="E6" s="41">
        <v>407130</v>
      </c>
      <c r="F6" s="41">
        <v>201434</v>
      </c>
      <c r="G6" s="41">
        <v>115408</v>
      </c>
      <c r="H6" s="41">
        <v>85533</v>
      </c>
      <c r="I6" s="41">
        <v>65527</v>
      </c>
      <c r="J6" s="41">
        <v>76202</v>
      </c>
      <c r="K6" s="20"/>
      <c r="L6" s="20"/>
      <c r="M6" s="41">
        <v>4245826</v>
      </c>
      <c r="N6" s="41">
        <v>2288541</v>
      </c>
      <c r="O6" s="41">
        <v>1201518</v>
      </c>
      <c r="P6" s="41">
        <v>788967</v>
      </c>
      <c r="Q6" s="41">
        <v>570156</v>
      </c>
      <c r="R6" s="41">
        <v>600712</v>
      </c>
      <c r="S6" s="20"/>
      <c r="T6" s="20"/>
      <c r="U6" s="41">
        <v>49681716</v>
      </c>
      <c r="V6" s="41">
        <v>22711327</v>
      </c>
      <c r="W6" s="41">
        <v>10631971</v>
      </c>
      <c r="X6" s="41">
        <v>8778837</v>
      </c>
      <c r="Y6" s="41">
        <v>7295610</v>
      </c>
      <c r="Z6" s="41">
        <v>8498566</v>
      </c>
      <c r="AA6" s="20"/>
      <c r="AB6" s="20"/>
      <c r="AC6" s="41">
        <v>644445185</v>
      </c>
      <c r="AD6" s="41">
        <v>238061130</v>
      </c>
      <c r="AE6" s="41">
        <v>138051839</v>
      </c>
      <c r="AF6" s="41">
        <v>166138864</v>
      </c>
      <c r="AG6" s="41">
        <v>158010655</v>
      </c>
      <c r="AH6" s="43">
        <v>270700929</v>
      </c>
      <c r="AI6" s="21"/>
    </row>
    <row r="7" spans="2:35" x14ac:dyDescent="0.3">
      <c r="B7" s="30"/>
      <c r="C7" s="23"/>
      <c r="D7" s="42" t="s">
        <v>12</v>
      </c>
      <c r="E7" s="41">
        <v>403469</v>
      </c>
      <c r="F7" s="41">
        <v>204285</v>
      </c>
      <c r="G7" s="41">
        <v>109740</v>
      </c>
      <c r="H7" s="41">
        <v>84714</v>
      </c>
      <c r="I7" s="41">
        <v>66271</v>
      </c>
      <c r="J7" s="41">
        <v>69887</v>
      </c>
      <c r="K7" s="20"/>
      <c r="L7" s="20"/>
      <c r="M7" s="41">
        <v>4244582</v>
      </c>
      <c r="N7" s="41">
        <v>2304136</v>
      </c>
      <c r="O7" s="41">
        <v>1169310</v>
      </c>
      <c r="P7" s="41">
        <v>796450</v>
      </c>
      <c r="Q7" s="41">
        <v>572327</v>
      </c>
      <c r="R7" s="41">
        <v>623592</v>
      </c>
      <c r="S7" s="20"/>
      <c r="T7" s="20"/>
      <c r="U7" s="41">
        <v>49542708</v>
      </c>
      <c r="V7" s="41">
        <v>22911879</v>
      </c>
      <c r="W7" s="41">
        <v>10644290</v>
      </c>
      <c r="X7" s="41">
        <v>8764525</v>
      </c>
      <c r="Y7" s="41">
        <v>7393692</v>
      </c>
      <c r="Z7" s="41">
        <v>8480200</v>
      </c>
      <c r="AA7" s="20"/>
      <c r="AB7" s="20"/>
      <c r="AC7" s="41">
        <v>800874287</v>
      </c>
      <c r="AD7" s="41">
        <v>235058108</v>
      </c>
      <c r="AE7" s="41">
        <v>137859395</v>
      </c>
      <c r="AF7" s="41">
        <v>158478393</v>
      </c>
      <c r="AG7" s="41">
        <v>164433740</v>
      </c>
      <c r="AH7" s="43">
        <v>275987609</v>
      </c>
      <c r="AI7" s="21"/>
    </row>
    <row r="8" spans="2:35" x14ac:dyDescent="0.3">
      <c r="B8" s="30"/>
      <c r="C8" s="23"/>
      <c r="D8" s="42" t="s">
        <v>13</v>
      </c>
      <c r="E8" s="41">
        <v>398402</v>
      </c>
      <c r="F8" s="41">
        <v>201634</v>
      </c>
      <c r="G8" s="41">
        <v>116911</v>
      </c>
      <c r="H8" s="41">
        <v>89879</v>
      </c>
      <c r="I8" s="41">
        <v>67348</v>
      </c>
      <c r="J8" s="41">
        <v>75482</v>
      </c>
      <c r="K8" s="20"/>
      <c r="L8" s="20"/>
      <c r="M8" s="41">
        <v>4244872</v>
      </c>
      <c r="N8" s="41">
        <v>2311206</v>
      </c>
      <c r="O8" s="41">
        <v>1159846</v>
      </c>
      <c r="P8" s="41">
        <v>793779</v>
      </c>
      <c r="Q8" s="41">
        <v>567560</v>
      </c>
      <c r="R8" s="41">
        <v>602497</v>
      </c>
      <c r="S8" s="20"/>
      <c r="T8" s="20"/>
      <c r="U8" s="41">
        <v>49404586</v>
      </c>
      <c r="V8" s="41">
        <v>22912521</v>
      </c>
      <c r="W8" s="41">
        <v>10652287</v>
      </c>
      <c r="X8" s="41">
        <v>8882370</v>
      </c>
      <c r="Y8" s="41">
        <v>7397546</v>
      </c>
      <c r="Z8" s="41">
        <v>8564355</v>
      </c>
      <c r="AA8" s="20"/>
      <c r="AB8" s="20"/>
      <c r="AC8" s="41">
        <v>634210120</v>
      </c>
      <c r="AD8" s="41">
        <v>235345964</v>
      </c>
      <c r="AE8" s="41">
        <v>137057918</v>
      </c>
      <c r="AF8" s="41">
        <v>141496429</v>
      </c>
      <c r="AG8" s="41">
        <v>159808002</v>
      </c>
      <c r="AH8" s="43">
        <v>228760276</v>
      </c>
      <c r="AI8" s="21"/>
    </row>
    <row r="9" spans="2:35" x14ac:dyDescent="0.3">
      <c r="B9" s="30"/>
      <c r="C9" s="23"/>
      <c r="D9" s="42" t="s">
        <v>14</v>
      </c>
      <c r="E9" s="41">
        <v>399894</v>
      </c>
      <c r="F9" s="41">
        <v>209209</v>
      </c>
      <c r="G9" s="41">
        <v>109785</v>
      </c>
      <c r="H9" s="41">
        <v>90647</v>
      </c>
      <c r="I9" s="41">
        <v>66937</v>
      </c>
      <c r="J9" s="41">
        <v>73443</v>
      </c>
      <c r="K9" s="20"/>
      <c r="L9" s="20"/>
      <c r="M9" s="41">
        <v>4248423</v>
      </c>
      <c r="N9" s="41">
        <v>2279362</v>
      </c>
      <c r="O9" s="41">
        <v>1215293</v>
      </c>
      <c r="P9" s="41">
        <v>790265</v>
      </c>
      <c r="Q9" s="41">
        <v>622274</v>
      </c>
      <c r="R9" s="41">
        <v>609175</v>
      </c>
      <c r="S9" s="20"/>
      <c r="T9" s="20"/>
      <c r="U9" s="41">
        <v>49525886</v>
      </c>
      <c r="V9" s="41">
        <v>22577571</v>
      </c>
      <c r="W9" s="41">
        <v>10583383</v>
      </c>
      <c r="X9" s="41">
        <v>8803950</v>
      </c>
      <c r="Y9" s="41">
        <v>7209577</v>
      </c>
      <c r="Z9" s="41">
        <v>8457244</v>
      </c>
      <c r="AA9" s="20"/>
      <c r="AB9" s="20"/>
      <c r="AC9" s="41">
        <v>635978743</v>
      </c>
      <c r="AD9" s="41">
        <v>237801351</v>
      </c>
      <c r="AE9" s="41">
        <v>142864541</v>
      </c>
      <c r="AF9" s="41">
        <v>157722548</v>
      </c>
      <c r="AG9" s="41">
        <v>168491300</v>
      </c>
      <c r="AH9" s="43">
        <v>304570130</v>
      </c>
      <c r="AI9" s="21"/>
    </row>
    <row r="10" spans="2:35" x14ac:dyDescent="0.3">
      <c r="B10" s="30"/>
      <c r="C10" s="23"/>
      <c r="D10" s="42" t="s">
        <v>15</v>
      </c>
      <c r="E10" s="41">
        <v>399949</v>
      </c>
      <c r="F10" s="41">
        <v>201880</v>
      </c>
      <c r="G10" s="41">
        <v>111389</v>
      </c>
      <c r="H10" s="41">
        <v>90134</v>
      </c>
      <c r="I10" s="41">
        <v>63776</v>
      </c>
      <c r="J10" s="41">
        <v>79168</v>
      </c>
      <c r="K10" s="20"/>
      <c r="L10" s="20"/>
      <c r="M10" s="41">
        <v>4243144</v>
      </c>
      <c r="N10" s="41">
        <v>2312116</v>
      </c>
      <c r="O10" s="41">
        <v>1214609</v>
      </c>
      <c r="P10" s="41">
        <v>789926</v>
      </c>
      <c r="Q10" s="41">
        <v>569397</v>
      </c>
      <c r="R10" s="41">
        <v>598660</v>
      </c>
      <c r="S10" s="20"/>
      <c r="T10" s="20"/>
      <c r="U10" s="41">
        <v>49754242</v>
      </c>
      <c r="V10" s="41">
        <v>22757966</v>
      </c>
      <c r="W10" s="41">
        <v>10557379</v>
      </c>
      <c r="X10" s="41">
        <v>9164582</v>
      </c>
      <c r="Y10" s="41">
        <v>8081432</v>
      </c>
      <c r="Z10" s="41">
        <v>8477220</v>
      </c>
      <c r="AA10" s="20"/>
      <c r="AB10" s="20"/>
      <c r="AC10" s="41">
        <v>793641676</v>
      </c>
      <c r="AD10" s="41">
        <v>235680876</v>
      </c>
      <c r="AE10" s="41">
        <v>145903968</v>
      </c>
      <c r="AF10" s="41">
        <v>133751244</v>
      </c>
      <c r="AG10" s="41">
        <v>159513036</v>
      </c>
      <c r="AH10" s="43">
        <v>249014112</v>
      </c>
      <c r="AI10" s="21"/>
    </row>
    <row r="11" spans="2:35" x14ac:dyDescent="0.3">
      <c r="B11" s="30"/>
      <c r="C11" s="23"/>
      <c r="D11" s="42" t="s">
        <v>16</v>
      </c>
      <c r="E11" s="41">
        <v>402256</v>
      </c>
      <c r="F11" s="41">
        <v>203215</v>
      </c>
      <c r="G11" s="41">
        <v>112033</v>
      </c>
      <c r="H11" s="41">
        <v>88162</v>
      </c>
      <c r="I11" s="41">
        <v>66958</v>
      </c>
      <c r="J11" s="41">
        <v>82083</v>
      </c>
      <c r="K11" s="20"/>
      <c r="L11" s="20"/>
      <c r="M11" s="41">
        <v>4238595</v>
      </c>
      <c r="N11" s="41">
        <v>2321182</v>
      </c>
      <c r="O11" s="41">
        <v>1208413</v>
      </c>
      <c r="P11" s="41">
        <v>789779</v>
      </c>
      <c r="Q11" s="41">
        <v>571136</v>
      </c>
      <c r="R11" s="41">
        <v>617494</v>
      </c>
      <c r="S11" s="20"/>
      <c r="T11" s="20"/>
      <c r="U11" s="41">
        <v>49652838</v>
      </c>
      <c r="V11" s="41">
        <v>22791857</v>
      </c>
      <c r="W11" s="41">
        <v>10606755</v>
      </c>
      <c r="X11" s="41">
        <v>8919150</v>
      </c>
      <c r="Y11" s="41">
        <v>7289561</v>
      </c>
      <c r="Z11" s="41">
        <v>8362190</v>
      </c>
      <c r="AA11" s="20"/>
      <c r="AB11" s="20"/>
      <c r="AC11" s="41">
        <v>753708388</v>
      </c>
      <c r="AD11" s="41">
        <v>238567968</v>
      </c>
      <c r="AE11" s="41">
        <v>142023352</v>
      </c>
      <c r="AF11" s="41">
        <v>155571340</v>
      </c>
      <c r="AG11" s="41">
        <v>168925101</v>
      </c>
      <c r="AH11" s="43">
        <v>251371599</v>
      </c>
      <c r="AI11" s="21"/>
    </row>
    <row r="12" spans="2:35" x14ac:dyDescent="0.3">
      <c r="B12" s="30"/>
      <c r="C12" s="23"/>
      <c r="D12" s="42" t="s">
        <v>17</v>
      </c>
      <c r="E12" s="41">
        <v>402308</v>
      </c>
      <c r="F12" s="41">
        <v>205065</v>
      </c>
      <c r="G12" s="41">
        <v>108219</v>
      </c>
      <c r="H12" s="41">
        <v>86961</v>
      </c>
      <c r="I12" s="41">
        <v>69064</v>
      </c>
      <c r="J12" s="41">
        <v>71875</v>
      </c>
      <c r="K12" s="20"/>
      <c r="L12" s="20"/>
      <c r="M12" s="41">
        <v>4235862</v>
      </c>
      <c r="N12" s="41">
        <v>2307259</v>
      </c>
      <c r="O12" s="41">
        <v>1212577</v>
      </c>
      <c r="P12" s="41">
        <v>790776</v>
      </c>
      <c r="Q12" s="41">
        <v>573380</v>
      </c>
      <c r="R12" s="41">
        <v>586045</v>
      </c>
      <c r="S12" s="20"/>
      <c r="T12" s="20"/>
      <c r="U12" s="41">
        <v>49312284</v>
      </c>
      <c r="V12" s="41">
        <v>22734604</v>
      </c>
      <c r="W12" s="41">
        <v>10767227</v>
      </c>
      <c r="X12" s="41">
        <v>8753714</v>
      </c>
      <c r="Y12" s="41">
        <v>7241016</v>
      </c>
      <c r="Z12" s="41">
        <v>8038914</v>
      </c>
      <c r="AA12" s="20"/>
      <c r="AB12" s="20"/>
      <c r="AC12" s="41">
        <v>779150762</v>
      </c>
      <c r="AD12" s="41">
        <v>238080119</v>
      </c>
      <c r="AE12" s="41">
        <v>138094891</v>
      </c>
      <c r="AF12" s="41">
        <v>156210038</v>
      </c>
      <c r="AG12" s="41">
        <v>195829661</v>
      </c>
      <c r="AH12" s="43">
        <v>243636581</v>
      </c>
      <c r="AI12" s="21"/>
    </row>
    <row r="13" spans="2:35" x14ac:dyDescent="0.3">
      <c r="B13" s="30"/>
      <c r="C13" s="23"/>
      <c r="D13" s="42" t="s">
        <v>18</v>
      </c>
      <c r="E13" s="41">
        <v>399694</v>
      </c>
      <c r="F13" s="41">
        <v>203253</v>
      </c>
      <c r="G13" s="41">
        <v>110768</v>
      </c>
      <c r="H13" s="41">
        <v>89441</v>
      </c>
      <c r="I13" s="41">
        <v>67075</v>
      </c>
      <c r="J13" s="41">
        <v>76950</v>
      </c>
      <c r="K13" s="20"/>
      <c r="L13" s="20"/>
      <c r="M13" s="41">
        <v>4271378</v>
      </c>
      <c r="N13" s="41">
        <v>2298463</v>
      </c>
      <c r="O13" s="41">
        <v>1213831</v>
      </c>
      <c r="P13" s="41">
        <v>794031</v>
      </c>
      <c r="Q13" s="41">
        <v>575744</v>
      </c>
      <c r="R13" s="41">
        <v>618252</v>
      </c>
      <c r="S13" s="20"/>
      <c r="T13" s="20"/>
      <c r="U13" s="41">
        <v>49125948</v>
      </c>
      <c r="V13" s="41">
        <v>22611408</v>
      </c>
      <c r="W13" s="41">
        <v>10632579</v>
      </c>
      <c r="X13" s="41">
        <v>8886083</v>
      </c>
      <c r="Y13" s="41">
        <v>7318593</v>
      </c>
      <c r="Z13" s="41">
        <v>8322797</v>
      </c>
      <c r="AA13" s="20"/>
      <c r="AB13" s="20"/>
      <c r="AC13" s="41">
        <v>742536588</v>
      </c>
      <c r="AD13" s="41">
        <v>235690565</v>
      </c>
      <c r="AE13" s="41">
        <v>143195761</v>
      </c>
      <c r="AF13" s="41">
        <v>154470758</v>
      </c>
      <c r="AG13" s="41">
        <v>161502617</v>
      </c>
      <c r="AH13" s="43">
        <v>245933091</v>
      </c>
      <c r="AI13" s="21"/>
    </row>
    <row r="14" spans="2:35" x14ac:dyDescent="0.3">
      <c r="B14" s="30"/>
      <c r="C14" s="23"/>
      <c r="D14" s="42" t="s">
        <v>19</v>
      </c>
      <c r="E14" s="41">
        <v>402323</v>
      </c>
      <c r="F14" s="41">
        <v>202002</v>
      </c>
      <c r="G14" s="41">
        <v>111112</v>
      </c>
      <c r="H14" s="41">
        <v>89310</v>
      </c>
      <c r="I14" s="41">
        <v>66724</v>
      </c>
      <c r="J14" s="41">
        <v>67216</v>
      </c>
      <c r="K14" s="20"/>
      <c r="L14" s="20"/>
      <c r="M14" s="41">
        <v>4244416</v>
      </c>
      <c r="N14" s="41">
        <v>2314025</v>
      </c>
      <c r="O14" s="41">
        <v>1215947</v>
      </c>
      <c r="P14" s="41">
        <v>798129</v>
      </c>
      <c r="Q14" s="41">
        <v>571128</v>
      </c>
      <c r="R14" s="41">
        <v>618352</v>
      </c>
      <c r="S14" s="20"/>
      <c r="T14" s="20"/>
      <c r="U14" s="41">
        <v>49467845</v>
      </c>
      <c r="V14" s="41">
        <v>22886911</v>
      </c>
      <c r="W14" s="41">
        <v>10681112</v>
      </c>
      <c r="X14" s="41">
        <v>8809594</v>
      </c>
      <c r="Y14" s="41">
        <v>7294687</v>
      </c>
      <c r="Z14" s="41">
        <v>8479554</v>
      </c>
      <c r="AA14" s="20"/>
      <c r="AB14" s="20"/>
      <c r="AC14" s="41">
        <v>646810679</v>
      </c>
      <c r="AD14" s="41">
        <v>239528211</v>
      </c>
      <c r="AE14" s="41">
        <v>122422258</v>
      </c>
      <c r="AF14" s="41">
        <v>151815721</v>
      </c>
      <c r="AG14" s="41">
        <v>228540643</v>
      </c>
      <c r="AH14" s="43">
        <v>249459152</v>
      </c>
      <c r="AI14" s="21"/>
    </row>
    <row r="15" spans="2:35" x14ac:dyDescent="0.3">
      <c r="B15" s="30"/>
      <c r="C15" s="23"/>
      <c r="D15" s="42" t="s">
        <v>20</v>
      </c>
      <c r="E15" s="41">
        <v>400487</v>
      </c>
      <c r="F15" s="41">
        <v>203516</v>
      </c>
      <c r="G15" s="41">
        <v>110394</v>
      </c>
      <c r="H15" s="41">
        <v>91074</v>
      </c>
      <c r="I15" s="41">
        <v>67067</v>
      </c>
      <c r="J15" s="41">
        <v>65355</v>
      </c>
      <c r="K15" s="20"/>
      <c r="L15" s="20"/>
      <c r="M15" s="41">
        <v>4240193</v>
      </c>
      <c r="N15" s="41">
        <v>2320775</v>
      </c>
      <c r="O15" s="41">
        <v>1222053</v>
      </c>
      <c r="P15" s="41">
        <v>807291</v>
      </c>
      <c r="Q15" s="41">
        <v>563124</v>
      </c>
      <c r="R15" s="41">
        <v>627684</v>
      </c>
      <c r="S15" s="20"/>
      <c r="T15" s="20"/>
      <c r="U15" s="41">
        <v>49543830</v>
      </c>
      <c r="V15" s="41">
        <v>22905400</v>
      </c>
      <c r="W15" s="41">
        <v>10716605</v>
      </c>
      <c r="X15" s="41">
        <v>8851910</v>
      </c>
      <c r="Y15" s="41">
        <v>7313956</v>
      </c>
      <c r="Z15" s="41">
        <v>8416792</v>
      </c>
      <c r="AA15" s="20"/>
      <c r="AB15" s="20"/>
      <c r="AC15" s="41">
        <v>813254764</v>
      </c>
      <c r="AD15" s="41">
        <v>240741411</v>
      </c>
      <c r="AE15" s="41">
        <v>148256995</v>
      </c>
      <c r="AF15" s="41">
        <v>157478295</v>
      </c>
      <c r="AG15" s="41">
        <v>257853582</v>
      </c>
      <c r="AH15" s="43">
        <v>247496772</v>
      </c>
      <c r="AI15" s="21"/>
    </row>
    <row r="16" spans="2:35" x14ac:dyDescent="0.3">
      <c r="B16" s="30"/>
      <c r="C16" s="23"/>
      <c r="D16" s="42" t="s">
        <v>21</v>
      </c>
      <c r="E16" s="41">
        <v>401162</v>
      </c>
      <c r="F16" s="41">
        <v>202288</v>
      </c>
      <c r="G16" s="41">
        <v>111380</v>
      </c>
      <c r="H16" s="41">
        <v>90780</v>
      </c>
      <c r="I16" s="41">
        <v>67747</v>
      </c>
      <c r="J16" s="41">
        <v>74238</v>
      </c>
      <c r="K16" s="20"/>
      <c r="L16" s="20"/>
      <c r="M16" s="41">
        <v>4249487</v>
      </c>
      <c r="N16" s="41">
        <v>2229202</v>
      </c>
      <c r="O16" s="41">
        <v>1212672</v>
      </c>
      <c r="P16" s="41">
        <v>797897</v>
      </c>
      <c r="Q16" s="41">
        <v>570593</v>
      </c>
      <c r="R16" s="41">
        <v>630826</v>
      </c>
      <c r="S16" s="20"/>
      <c r="T16" s="20"/>
      <c r="U16" s="41">
        <v>49234936</v>
      </c>
      <c r="V16" s="41">
        <v>22699465</v>
      </c>
      <c r="W16" s="41">
        <v>10589354</v>
      </c>
      <c r="X16" s="41">
        <v>8863603</v>
      </c>
      <c r="Y16" s="41">
        <v>7249706</v>
      </c>
      <c r="Z16" s="41">
        <v>8405698</v>
      </c>
      <c r="AA16" s="20"/>
      <c r="AB16" s="20"/>
      <c r="AC16" s="41">
        <v>643343872</v>
      </c>
      <c r="AD16" s="41">
        <v>237123045</v>
      </c>
      <c r="AE16" s="41">
        <v>128588858</v>
      </c>
      <c r="AF16" s="41">
        <v>133114158</v>
      </c>
      <c r="AG16" s="41">
        <v>192155829</v>
      </c>
      <c r="AH16" s="43">
        <v>245070938</v>
      </c>
      <c r="AI16" s="21"/>
    </row>
    <row r="17" spans="2:35" x14ac:dyDescent="0.3">
      <c r="B17" s="30"/>
      <c r="C17" s="23"/>
      <c r="D17" s="42" t="s">
        <v>22</v>
      </c>
      <c r="E17" s="41">
        <v>401537</v>
      </c>
      <c r="F17" s="41">
        <v>203936</v>
      </c>
      <c r="G17" s="41">
        <v>110061</v>
      </c>
      <c r="H17" s="41">
        <v>90755</v>
      </c>
      <c r="I17" s="41">
        <v>63155</v>
      </c>
      <c r="J17" s="41">
        <v>77671</v>
      </c>
      <c r="K17" s="20"/>
      <c r="L17" s="20"/>
      <c r="M17" s="41">
        <v>4236787</v>
      </c>
      <c r="N17" s="41">
        <v>2283513</v>
      </c>
      <c r="O17" s="41">
        <v>1203779</v>
      </c>
      <c r="P17" s="41">
        <v>803522</v>
      </c>
      <c r="Q17" s="41">
        <v>575132</v>
      </c>
      <c r="R17" s="41">
        <v>647690</v>
      </c>
      <c r="S17" s="20"/>
      <c r="T17" s="20"/>
      <c r="U17" s="41">
        <v>49472820</v>
      </c>
      <c r="V17" s="41">
        <v>22498434</v>
      </c>
      <c r="W17" s="41">
        <v>10577066</v>
      </c>
      <c r="X17" s="41">
        <v>8885786</v>
      </c>
      <c r="Y17" s="41">
        <v>7189062</v>
      </c>
      <c r="Z17" s="41">
        <v>8403276</v>
      </c>
      <c r="AA17" s="20"/>
      <c r="AB17" s="20"/>
      <c r="AC17" s="41">
        <v>629364714</v>
      </c>
      <c r="AD17" s="41">
        <v>239263756</v>
      </c>
      <c r="AE17" s="41">
        <v>123012425</v>
      </c>
      <c r="AF17" s="41">
        <v>168754185</v>
      </c>
      <c r="AG17" s="41">
        <v>200271177</v>
      </c>
      <c r="AH17" s="43">
        <v>250533640</v>
      </c>
      <c r="AI17" s="21"/>
    </row>
    <row r="18" spans="2:35" x14ac:dyDescent="0.3">
      <c r="B18" s="30"/>
      <c r="C18" s="23"/>
      <c r="D18" s="42" t="s">
        <v>23</v>
      </c>
      <c r="E18" s="41">
        <v>403653</v>
      </c>
      <c r="F18" s="41">
        <v>208865</v>
      </c>
      <c r="G18" s="41">
        <v>111969</v>
      </c>
      <c r="H18" s="41">
        <v>87077</v>
      </c>
      <c r="I18" s="41">
        <v>67571</v>
      </c>
      <c r="J18" s="41">
        <v>71499</v>
      </c>
      <c r="K18" s="20"/>
      <c r="L18" s="20"/>
      <c r="M18" s="41">
        <v>4243291</v>
      </c>
      <c r="N18" s="41">
        <v>2319359</v>
      </c>
      <c r="O18" s="41">
        <v>1224888</v>
      </c>
      <c r="P18" s="41">
        <v>792947</v>
      </c>
      <c r="Q18" s="41">
        <v>571893</v>
      </c>
      <c r="R18" s="41">
        <v>637256</v>
      </c>
      <c r="S18" s="20"/>
      <c r="T18" s="20"/>
      <c r="U18" s="41">
        <v>49840854</v>
      </c>
      <c r="V18" s="41">
        <v>22450695</v>
      </c>
      <c r="W18" s="41">
        <v>10749118</v>
      </c>
      <c r="X18" s="41">
        <v>8875173</v>
      </c>
      <c r="Y18" s="41">
        <v>7302320</v>
      </c>
      <c r="Z18" s="41">
        <v>8508068</v>
      </c>
      <c r="AA18" s="20"/>
      <c r="AB18" s="20"/>
      <c r="AC18" s="41">
        <v>787728240</v>
      </c>
      <c r="AD18" s="41">
        <v>240039244</v>
      </c>
      <c r="AE18" s="41">
        <v>132147980</v>
      </c>
      <c r="AF18" s="41">
        <v>166392769</v>
      </c>
      <c r="AG18" s="41">
        <v>194272892</v>
      </c>
      <c r="AH18" s="43">
        <v>251190087</v>
      </c>
      <c r="AI18" s="21"/>
    </row>
    <row r="19" spans="2:35" x14ac:dyDescent="0.3">
      <c r="B19" s="30"/>
      <c r="C19" s="23"/>
      <c r="D19" s="42" t="s">
        <v>24</v>
      </c>
      <c r="E19" s="41">
        <v>402841</v>
      </c>
      <c r="F19" s="41">
        <v>204011</v>
      </c>
      <c r="G19" s="41">
        <v>117221</v>
      </c>
      <c r="H19" s="41">
        <v>91687</v>
      </c>
      <c r="I19" s="41">
        <v>66768</v>
      </c>
      <c r="J19" s="41">
        <v>67646</v>
      </c>
      <c r="K19" s="20"/>
      <c r="L19" s="20"/>
      <c r="M19" s="41">
        <v>4243427</v>
      </c>
      <c r="N19" s="41">
        <v>2275205</v>
      </c>
      <c r="O19" s="41">
        <v>1156430</v>
      </c>
      <c r="P19" s="41">
        <v>790831</v>
      </c>
      <c r="Q19" s="41">
        <v>573867</v>
      </c>
      <c r="R19" s="41">
        <v>609522</v>
      </c>
      <c r="S19" s="20"/>
      <c r="T19" s="20"/>
      <c r="U19" s="41">
        <v>49782128</v>
      </c>
      <c r="V19" s="41">
        <v>22333476</v>
      </c>
      <c r="W19" s="41">
        <v>10704787</v>
      </c>
      <c r="X19" s="41">
        <v>8835658</v>
      </c>
      <c r="Y19" s="41">
        <v>7319117</v>
      </c>
      <c r="Z19" s="41">
        <v>8091488</v>
      </c>
      <c r="AA19" s="20"/>
      <c r="AB19" s="20"/>
      <c r="AC19" s="41">
        <v>641602740</v>
      </c>
      <c r="AD19" s="41">
        <v>241789312</v>
      </c>
      <c r="AE19" s="41">
        <v>126850460</v>
      </c>
      <c r="AF19" s="41">
        <v>149846151</v>
      </c>
      <c r="AG19" s="41">
        <v>219086671</v>
      </c>
      <c r="AH19" s="43">
        <v>248218200</v>
      </c>
      <c r="AI19" s="21"/>
    </row>
    <row r="20" spans="2:35" x14ac:dyDescent="0.3">
      <c r="B20" s="30"/>
      <c r="C20" s="23"/>
      <c r="D20" s="42" t="s">
        <v>25</v>
      </c>
      <c r="E20" s="41">
        <v>401903</v>
      </c>
      <c r="F20" s="41">
        <v>204066</v>
      </c>
      <c r="G20" s="41">
        <v>111177</v>
      </c>
      <c r="H20" s="41">
        <v>86965</v>
      </c>
      <c r="I20" s="41">
        <v>68861</v>
      </c>
      <c r="J20" s="41">
        <v>74271</v>
      </c>
      <c r="K20" s="20"/>
      <c r="L20" s="20"/>
      <c r="M20" s="41">
        <v>4245713</v>
      </c>
      <c r="N20" s="41">
        <v>2313686</v>
      </c>
      <c r="O20" s="41">
        <v>1221883</v>
      </c>
      <c r="P20" s="41">
        <v>791442</v>
      </c>
      <c r="Q20" s="41">
        <v>570351</v>
      </c>
      <c r="R20" s="41">
        <v>618271</v>
      </c>
      <c r="S20" s="20"/>
      <c r="T20" s="20"/>
      <c r="U20" s="41">
        <v>49625395</v>
      </c>
      <c r="V20" s="41">
        <v>22723793</v>
      </c>
      <c r="W20" s="41">
        <v>10606768</v>
      </c>
      <c r="X20" s="41">
        <v>8829162</v>
      </c>
      <c r="Y20" s="41">
        <v>7343690</v>
      </c>
      <c r="Z20" s="41">
        <v>8294254</v>
      </c>
      <c r="AA20" s="20"/>
      <c r="AB20" s="20"/>
      <c r="AC20" s="41">
        <v>631701975</v>
      </c>
      <c r="AD20" s="41">
        <v>239571520</v>
      </c>
      <c r="AE20" s="41">
        <v>133156031</v>
      </c>
      <c r="AF20" s="41">
        <v>157375467</v>
      </c>
      <c r="AG20" s="41">
        <v>168195943</v>
      </c>
      <c r="AH20" s="43">
        <v>244429208</v>
      </c>
      <c r="AI20" s="21"/>
    </row>
    <row r="21" spans="2:35" x14ac:dyDescent="0.3">
      <c r="B21" s="30"/>
      <c r="C21" s="23"/>
      <c r="D21" s="42" t="s">
        <v>26</v>
      </c>
      <c r="E21" s="41">
        <v>398037</v>
      </c>
      <c r="F21" s="41">
        <v>201308</v>
      </c>
      <c r="G21" s="41">
        <v>112319</v>
      </c>
      <c r="H21" s="41">
        <v>86301</v>
      </c>
      <c r="I21" s="41">
        <v>66832</v>
      </c>
      <c r="J21" s="41">
        <v>72309</v>
      </c>
      <c r="K21" s="20"/>
      <c r="L21" s="20"/>
      <c r="M21" s="41">
        <v>4234608</v>
      </c>
      <c r="N21" s="41">
        <v>2132678</v>
      </c>
      <c r="O21" s="41">
        <v>1208478</v>
      </c>
      <c r="P21" s="41">
        <v>788571</v>
      </c>
      <c r="Q21" s="41">
        <v>570942</v>
      </c>
      <c r="R21" s="41">
        <v>623793</v>
      </c>
      <c r="S21" s="20"/>
      <c r="T21" s="20"/>
      <c r="U21" s="41">
        <v>49758411</v>
      </c>
      <c r="V21" s="41">
        <v>22621668</v>
      </c>
      <c r="W21" s="41">
        <v>10574295</v>
      </c>
      <c r="X21" s="41">
        <v>8864634</v>
      </c>
      <c r="Y21" s="41">
        <v>7236167</v>
      </c>
      <c r="Z21" s="41">
        <v>8357255</v>
      </c>
      <c r="AA21" s="20"/>
      <c r="AB21" s="20"/>
      <c r="AC21" s="41">
        <v>796856078</v>
      </c>
      <c r="AD21" s="41">
        <v>241089873</v>
      </c>
      <c r="AE21" s="41">
        <v>128413312</v>
      </c>
      <c r="AF21" s="41">
        <v>141763779</v>
      </c>
      <c r="AG21" s="41">
        <v>172915637</v>
      </c>
      <c r="AH21" s="43">
        <v>247044954</v>
      </c>
      <c r="AI21" s="21"/>
    </row>
    <row r="22" spans="2:35" x14ac:dyDescent="0.3">
      <c r="B22" s="30"/>
      <c r="C22" s="23"/>
      <c r="D22" s="42" t="s">
        <v>27</v>
      </c>
      <c r="E22" s="41">
        <v>402021</v>
      </c>
      <c r="F22" s="41">
        <v>206751</v>
      </c>
      <c r="G22" s="41">
        <v>117000</v>
      </c>
      <c r="H22" s="41">
        <v>90252</v>
      </c>
      <c r="I22" s="41">
        <v>65969</v>
      </c>
      <c r="J22" s="41">
        <v>68525</v>
      </c>
      <c r="K22" s="20"/>
      <c r="L22" s="20"/>
      <c r="M22" s="41">
        <v>4245348</v>
      </c>
      <c r="N22" s="41">
        <v>2312273</v>
      </c>
      <c r="O22" s="41">
        <v>1223476</v>
      </c>
      <c r="P22" s="41">
        <v>808486</v>
      </c>
      <c r="Q22" s="41">
        <v>567455</v>
      </c>
      <c r="R22" s="41">
        <v>629015</v>
      </c>
      <c r="S22" s="20"/>
      <c r="T22" s="20"/>
      <c r="U22" s="41">
        <v>49593651</v>
      </c>
      <c r="V22" s="41">
        <v>22459508</v>
      </c>
      <c r="W22" s="41">
        <v>10583782</v>
      </c>
      <c r="X22" s="41">
        <v>9020763</v>
      </c>
      <c r="Y22" s="41">
        <v>7291934</v>
      </c>
      <c r="Z22" s="41">
        <v>8578299</v>
      </c>
      <c r="AA22" s="20"/>
      <c r="AB22" s="20"/>
      <c r="AC22" s="41">
        <v>771881990</v>
      </c>
      <c r="AD22" s="41">
        <v>241015038</v>
      </c>
      <c r="AE22" s="41">
        <v>129231603</v>
      </c>
      <c r="AF22" s="41">
        <v>162191007</v>
      </c>
      <c r="AG22" s="41">
        <v>227424372</v>
      </c>
      <c r="AH22" s="43">
        <v>251680322</v>
      </c>
      <c r="AI22" s="21"/>
    </row>
    <row r="23" spans="2:35" x14ac:dyDescent="0.3">
      <c r="B23" s="30"/>
      <c r="C23" s="23"/>
      <c r="D23" s="42" t="s">
        <v>28</v>
      </c>
      <c r="E23" s="41">
        <v>403259</v>
      </c>
      <c r="F23" s="41">
        <v>203682</v>
      </c>
      <c r="G23" s="41">
        <v>111694</v>
      </c>
      <c r="H23" s="41">
        <v>87771</v>
      </c>
      <c r="I23" s="41">
        <v>69876</v>
      </c>
      <c r="J23" s="41">
        <v>72799</v>
      </c>
      <c r="K23" s="20"/>
      <c r="L23" s="20"/>
      <c r="M23" s="41">
        <v>4237806</v>
      </c>
      <c r="N23" s="41">
        <v>2282517</v>
      </c>
      <c r="O23" s="41">
        <v>1220589</v>
      </c>
      <c r="P23" s="41">
        <v>800889</v>
      </c>
      <c r="Q23" s="41">
        <v>567311</v>
      </c>
      <c r="R23" s="41">
        <v>603930</v>
      </c>
      <c r="S23" s="20"/>
      <c r="T23" s="20"/>
      <c r="U23" s="41">
        <v>49534692</v>
      </c>
      <c r="V23" s="41">
        <v>22521525</v>
      </c>
      <c r="W23" s="41">
        <v>10653524</v>
      </c>
      <c r="X23" s="41">
        <v>8862176</v>
      </c>
      <c r="Y23" s="41">
        <v>7330132</v>
      </c>
      <c r="Z23" s="41">
        <v>8421066</v>
      </c>
      <c r="AA23" s="20"/>
      <c r="AB23" s="20"/>
      <c r="AC23" s="41">
        <v>759669943</v>
      </c>
      <c r="AD23" s="41">
        <v>246767476</v>
      </c>
      <c r="AE23" s="41">
        <v>128180905</v>
      </c>
      <c r="AF23" s="41">
        <v>157715476</v>
      </c>
      <c r="AG23" s="41">
        <v>189481703</v>
      </c>
      <c r="AH23" s="43">
        <v>245040677</v>
      </c>
      <c r="AI23" s="21"/>
    </row>
    <row r="24" spans="2:35" x14ac:dyDescent="0.3">
      <c r="B24" s="30"/>
      <c r="C24" s="23"/>
      <c r="D24" s="42" t="s">
        <v>29</v>
      </c>
      <c r="E24" s="41">
        <v>401200</v>
      </c>
      <c r="F24" s="41">
        <v>204982</v>
      </c>
      <c r="G24" s="41">
        <v>127182</v>
      </c>
      <c r="H24" s="41">
        <v>85624</v>
      </c>
      <c r="I24" s="41">
        <v>67586</v>
      </c>
      <c r="J24" s="41">
        <v>71156</v>
      </c>
      <c r="K24" s="20"/>
      <c r="L24" s="20"/>
      <c r="M24" s="41">
        <v>4237479</v>
      </c>
      <c r="N24" s="41">
        <v>2313943</v>
      </c>
      <c r="O24" s="41">
        <v>1215418</v>
      </c>
      <c r="P24" s="41">
        <v>794668</v>
      </c>
      <c r="Q24" s="41">
        <v>568062</v>
      </c>
      <c r="R24" s="41">
        <v>627835</v>
      </c>
      <c r="S24" s="20"/>
      <c r="T24" s="20"/>
      <c r="U24" s="41">
        <v>49298131</v>
      </c>
      <c r="V24" s="41">
        <v>22962457</v>
      </c>
      <c r="W24" s="41">
        <v>10609995</v>
      </c>
      <c r="X24" s="41">
        <v>8865153</v>
      </c>
      <c r="Y24" s="41">
        <v>7383354</v>
      </c>
      <c r="Z24" s="41">
        <v>8380148</v>
      </c>
      <c r="AA24" s="20"/>
      <c r="AB24" s="20"/>
      <c r="AC24" s="41">
        <v>737098106</v>
      </c>
      <c r="AD24" s="41">
        <v>241843285</v>
      </c>
      <c r="AE24" s="41">
        <v>134296811</v>
      </c>
      <c r="AF24" s="41">
        <v>167596133</v>
      </c>
      <c r="AG24" s="41">
        <v>180799180</v>
      </c>
      <c r="AH24" s="43">
        <v>247512715</v>
      </c>
      <c r="AI24" s="21"/>
    </row>
    <row r="25" spans="2:35" x14ac:dyDescent="0.3">
      <c r="B25" s="30"/>
      <c r="C25" s="23"/>
      <c r="D25" s="42" t="s">
        <v>30</v>
      </c>
      <c r="E25" s="41">
        <v>401300</v>
      </c>
      <c r="F25" s="41">
        <v>204059</v>
      </c>
      <c r="G25" s="41">
        <v>117383</v>
      </c>
      <c r="H25" s="41">
        <v>93197</v>
      </c>
      <c r="I25" s="41">
        <v>67101</v>
      </c>
      <c r="J25" s="41">
        <v>69209</v>
      </c>
      <c r="K25" s="20"/>
      <c r="L25" s="20"/>
      <c r="M25" s="41">
        <v>4235491</v>
      </c>
      <c r="N25" s="41">
        <v>2277074</v>
      </c>
      <c r="O25" s="41">
        <v>1222542</v>
      </c>
      <c r="P25" s="41">
        <v>791427</v>
      </c>
      <c r="Q25" s="41">
        <v>561085</v>
      </c>
      <c r="R25" s="41">
        <v>624870</v>
      </c>
      <c r="S25" s="20"/>
      <c r="T25" s="20"/>
      <c r="U25" s="41">
        <v>49305365</v>
      </c>
      <c r="V25" s="41">
        <v>22809305</v>
      </c>
      <c r="W25" s="41">
        <v>10619182</v>
      </c>
      <c r="X25" s="41">
        <v>8794354</v>
      </c>
      <c r="Y25" s="41">
        <v>7404469</v>
      </c>
      <c r="Z25" s="41">
        <v>8132151</v>
      </c>
      <c r="AA25" s="20"/>
      <c r="AB25" s="20"/>
      <c r="AC25" s="41">
        <v>820882086</v>
      </c>
      <c r="AD25" s="41">
        <v>239860243</v>
      </c>
      <c r="AE25" s="41">
        <v>131957978</v>
      </c>
      <c r="AF25" s="41">
        <v>140649756</v>
      </c>
      <c r="AG25" s="41">
        <v>157046204</v>
      </c>
      <c r="AH25" s="43">
        <v>246622653</v>
      </c>
      <c r="AI25" s="21"/>
    </row>
    <row r="26" spans="2:35" x14ac:dyDescent="0.3">
      <c r="B26" s="30"/>
      <c r="C26" s="23"/>
      <c r="D26" s="42" t="s">
        <v>31</v>
      </c>
      <c r="E26" s="41">
        <v>401947</v>
      </c>
      <c r="F26" s="41">
        <v>203415</v>
      </c>
      <c r="G26" s="41">
        <v>109726</v>
      </c>
      <c r="H26" s="41">
        <v>84832</v>
      </c>
      <c r="I26" s="41">
        <v>68105</v>
      </c>
      <c r="J26" s="41">
        <v>77386</v>
      </c>
      <c r="K26" s="20"/>
      <c r="L26" s="20"/>
      <c r="M26" s="41">
        <v>4232212</v>
      </c>
      <c r="N26" s="41">
        <v>2308990</v>
      </c>
      <c r="O26" s="41">
        <v>1217038</v>
      </c>
      <c r="P26" s="41">
        <v>783406</v>
      </c>
      <c r="Q26" s="41">
        <v>566907</v>
      </c>
      <c r="R26" s="41">
        <v>614970</v>
      </c>
      <c r="S26" s="20"/>
      <c r="T26" s="20"/>
      <c r="U26" s="41">
        <v>49573853</v>
      </c>
      <c r="V26" s="41">
        <v>22523409</v>
      </c>
      <c r="W26" s="41">
        <v>10623608</v>
      </c>
      <c r="X26" s="41">
        <v>8849475</v>
      </c>
      <c r="Y26" s="41">
        <v>7548980</v>
      </c>
      <c r="Z26" s="41">
        <v>8490852</v>
      </c>
      <c r="AA26" s="20"/>
      <c r="AB26" s="20"/>
      <c r="AC26" s="41">
        <v>629597967</v>
      </c>
      <c r="AD26" s="41">
        <v>394473916</v>
      </c>
      <c r="AE26" s="41">
        <v>127596595</v>
      </c>
      <c r="AF26" s="41">
        <v>166204990</v>
      </c>
      <c r="AG26" s="41">
        <v>174584647</v>
      </c>
      <c r="AH26" s="43">
        <v>240827108</v>
      </c>
      <c r="AI26" s="21"/>
    </row>
    <row r="27" spans="2:35" x14ac:dyDescent="0.3">
      <c r="B27" s="30"/>
      <c r="C27" s="23"/>
      <c r="D27" s="42" t="s">
        <v>32</v>
      </c>
      <c r="E27" s="41">
        <v>408673</v>
      </c>
      <c r="F27" s="41">
        <v>202580</v>
      </c>
      <c r="G27" s="41">
        <v>110783</v>
      </c>
      <c r="H27" s="41">
        <v>83511</v>
      </c>
      <c r="I27" s="41">
        <v>63268</v>
      </c>
      <c r="J27" s="41">
        <v>70021</v>
      </c>
      <c r="K27" s="20"/>
      <c r="L27" s="20"/>
      <c r="M27" s="41">
        <v>4250395</v>
      </c>
      <c r="N27" s="41">
        <v>2314221</v>
      </c>
      <c r="O27" s="41">
        <v>1207839</v>
      </c>
      <c r="P27" s="41">
        <v>797741</v>
      </c>
      <c r="Q27" s="41">
        <v>567324</v>
      </c>
      <c r="R27" s="41">
        <v>630620</v>
      </c>
      <c r="S27" s="20"/>
      <c r="T27" s="20"/>
      <c r="U27" s="41">
        <v>49712466</v>
      </c>
      <c r="V27" s="41">
        <v>22452051</v>
      </c>
      <c r="W27" s="41">
        <v>10646694</v>
      </c>
      <c r="X27" s="41">
        <v>8811102</v>
      </c>
      <c r="Y27" s="41">
        <v>7496628</v>
      </c>
      <c r="Z27" s="41">
        <v>8389921</v>
      </c>
      <c r="AA27" s="20"/>
      <c r="AB27" s="20"/>
      <c r="AC27" s="41">
        <v>643749290</v>
      </c>
      <c r="AD27" s="41">
        <v>242130481</v>
      </c>
      <c r="AE27" s="41">
        <v>143039812</v>
      </c>
      <c r="AF27" s="41">
        <v>141701274</v>
      </c>
      <c r="AG27" s="41">
        <v>163406767</v>
      </c>
      <c r="AH27" s="43">
        <v>244661249</v>
      </c>
      <c r="AI27" s="21"/>
    </row>
    <row r="28" spans="2:35" x14ac:dyDescent="0.3">
      <c r="B28" s="30"/>
      <c r="C28" s="23"/>
      <c r="D28" s="42" t="s">
        <v>33</v>
      </c>
      <c r="E28" s="41">
        <v>399194</v>
      </c>
      <c r="F28" s="41">
        <v>203505</v>
      </c>
      <c r="G28" s="41">
        <v>117306</v>
      </c>
      <c r="H28" s="41">
        <v>90728</v>
      </c>
      <c r="I28" s="41">
        <v>68143</v>
      </c>
      <c r="J28" s="41">
        <v>72219</v>
      </c>
      <c r="K28" s="20"/>
      <c r="L28" s="20"/>
      <c r="M28" s="41">
        <v>4247205</v>
      </c>
      <c r="N28" s="41">
        <v>2298999</v>
      </c>
      <c r="O28" s="41">
        <v>1226887</v>
      </c>
      <c r="P28" s="41">
        <v>789458</v>
      </c>
      <c r="Q28" s="41">
        <v>570125</v>
      </c>
      <c r="R28" s="41">
        <v>623034</v>
      </c>
      <c r="S28" s="20"/>
      <c r="T28" s="20"/>
      <c r="U28" s="41">
        <v>49701024</v>
      </c>
      <c r="V28" s="41">
        <v>22588257</v>
      </c>
      <c r="W28" s="41">
        <v>10726420</v>
      </c>
      <c r="X28" s="41">
        <v>8843546</v>
      </c>
      <c r="Y28" s="41">
        <v>7541162</v>
      </c>
      <c r="Z28" s="41">
        <v>8311332</v>
      </c>
      <c r="AA28" s="20"/>
      <c r="AB28" s="20"/>
      <c r="AC28" s="41">
        <v>642489003</v>
      </c>
      <c r="AD28" s="41">
        <v>239354817</v>
      </c>
      <c r="AE28" s="41">
        <v>146376849</v>
      </c>
      <c r="AF28" s="41">
        <v>156636614</v>
      </c>
      <c r="AG28" s="41">
        <v>164003844</v>
      </c>
      <c r="AH28" s="43">
        <v>247968452</v>
      </c>
      <c r="AI28" s="21"/>
    </row>
    <row r="29" spans="2:35" x14ac:dyDescent="0.3">
      <c r="B29" s="30"/>
      <c r="C29" s="23"/>
      <c r="D29" s="42" t="s">
        <v>34</v>
      </c>
      <c r="E29" s="41">
        <v>400403</v>
      </c>
      <c r="F29" s="41">
        <v>202120</v>
      </c>
      <c r="G29" s="41">
        <v>117174</v>
      </c>
      <c r="H29" s="41">
        <v>85055</v>
      </c>
      <c r="I29" s="41">
        <v>67412</v>
      </c>
      <c r="J29" s="41">
        <v>71981</v>
      </c>
      <c r="K29" s="20"/>
      <c r="L29" s="20"/>
      <c r="M29" s="41">
        <v>4249471</v>
      </c>
      <c r="N29" s="41">
        <v>2305696</v>
      </c>
      <c r="O29" s="41">
        <v>1217971</v>
      </c>
      <c r="P29" s="41">
        <v>796167</v>
      </c>
      <c r="Q29" s="41">
        <v>565904</v>
      </c>
      <c r="R29" s="41">
        <v>631419</v>
      </c>
      <c r="S29" s="20"/>
      <c r="T29" s="20"/>
      <c r="U29" s="41">
        <v>49449958</v>
      </c>
      <c r="V29" s="41">
        <v>22834809</v>
      </c>
      <c r="W29" s="41">
        <v>10628767</v>
      </c>
      <c r="X29" s="41">
        <v>9039203</v>
      </c>
      <c r="Y29" s="41">
        <v>7513103</v>
      </c>
      <c r="Z29" s="41">
        <v>8318387</v>
      </c>
      <c r="AA29" s="20"/>
      <c r="AB29" s="20"/>
      <c r="AC29" s="41">
        <v>632106129</v>
      </c>
      <c r="AD29" s="41">
        <v>254914193</v>
      </c>
      <c r="AE29" s="41">
        <v>135135034</v>
      </c>
      <c r="AF29" s="41">
        <v>153962853</v>
      </c>
      <c r="AG29" s="41">
        <v>163275478</v>
      </c>
      <c r="AH29" s="43">
        <v>245799772</v>
      </c>
      <c r="AI29" s="21"/>
    </row>
    <row r="30" spans="2:35" x14ac:dyDescent="0.3">
      <c r="B30" s="30"/>
      <c r="C30" s="23"/>
      <c r="D30" s="42" t="s">
        <v>35</v>
      </c>
      <c r="E30" s="41">
        <v>400320</v>
      </c>
      <c r="F30" s="41">
        <v>202958</v>
      </c>
      <c r="G30" s="41">
        <v>112299</v>
      </c>
      <c r="H30" s="41">
        <v>86416</v>
      </c>
      <c r="I30" s="41">
        <v>67416</v>
      </c>
      <c r="J30" s="41">
        <v>71347</v>
      </c>
      <c r="K30" s="20"/>
      <c r="L30" s="20"/>
      <c r="M30" s="41">
        <v>4246603</v>
      </c>
      <c r="N30" s="41">
        <v>2287972</v>
      </c>
      <c r="O30" s="41">
        <v>1212640</v>
      </c>
      <c r="P30" s="41">
        <v>790828</v>
      </c>
      <c r="Q30" s="41">
        <v>564261</v>
      </c>
      <c r="R30" s="41">
        <v>627686</v>
      </c>
      <c r="S30" s="20"/>
      <c r="T30" s="20"/>
      <c r="U30" s="41">
        <v>49725997</v>
      </c>
      <c r="V30" s="41">
        <v>22366855</v>
      </c>
      <c r="W30" s="41">
        <v>10670545</v>
      </c>
      <c r="X30" s="41">
        <v>8852227</v>
      </c>
      <c r="Y30" s="41">
        <v>7375258</v>
      </c>
      <c r="Z30" s="41">
        <v>8432550</v>
      </c>
      <c r="AA30" s="20"/>
      <c r="AB30" s="20"/>
      <c r="AC30" s="41">
        <v>815234800</v>
      </c>
      <c r="AD30" s="41">
        <v>249934533</v>
      </c>
      <c r="AE30" s="41">
        <v>133543502</v>
      </c>
      <c r="AF30" s="41">
        <v>174865465</v>
      </c>
      <c r="AG30" s="41">
        <v>199655199</v>
      </c>
      <c r="AH30" s="43">
        <v>250250138</v>
      </c>
      <c r="AI30" s="21"/>
    </row>
    <row r="31" spans="2:35" x14ac:dyDescent="0.3">
      <c r="B31" s="30"/>
      <c r="C31" s="23"/>
      <c r="D31" s="42" t="s">
        <v>36</v>
      </c>
      <c r="E31" s="41">
        <v>401620</v>
      </c>
      <c r="F31" s="41">
        <v>203497</v>
      </c>
      <c r="G31" s="41">
        <v>112076</v>
      </c>
      <c r="H31" s="41">
        <v>89992</v>
      </c>
      <c r="I31" s="41">
        <v>68025</v>
      </c>
      <c r="J31" s="41">
        <v>72202</v>
      </c>
      <c r="K31" s="20"/>
      <c r="L31" s="20"/>
      <c r="M31" s="41">
        <v>4236613</v>
      </c>
      <c r="N31" s="41">
        <v>2286117</v>
      </c>
      <c r="O31" s="41">
        <v>1220564</v>
      </c>
      <c r="P31" s="41">
        <v>791912</v>
      </c>
      <c r="Q31" s="41">
        <v>559639</v>
      </c>
      <c r="R31" s="41">
        <v>610308</v>
      </c>
      <c r="S31" s="20"/>
      <c r="T31" s="20"/>
      <c r="U31" s="41">
        <v>49848344</v>
      </c>
      <c r="V31" s="41">
        <v>23030751</v>
      </c>
      <c r="W31" s="41">
        <v>10644699</v>
      </c>
      <c r="X31" s="41">
        <v>8888094</v>
      </c>
      <c r="Y31" s="41">
        <v>7377272</v>
      </c>
      <c r="Z31" s="41">
        <v>8395681</v>
      </c>
      <c r="AA31" s="20"/>
      <c r="AB31" s="20"/>
      <c r="AC31" s="41">
        <v>817964258</v>
      </c>
      <c r="AD31" s="41">
        <v>239425189</v>
      </c>
      <c r="AE31" s="41">
        <v>130314677</v>
      </c>
      <c r="AF31" s="41">
        <v>191162468</v>
      </c>
      <c r="AG31" s="41">
        <v>193257900</v>
      </c>
      <c r="AH31" s="43">
        <v>249519195</v>
      </c>
      <c r="AI31" s="21"/>
    </row>
    <row r="32" spans="2:35" x14ac:dyDescent="0.3">
      <c r="B32" s="30"/>
      <c r="C32" s="23"/>
      <c r="D32" s="42" t="s">
        <v>37</v>
      </c>
      <c r="E32" s="41">
        <v>401968</v>
      </c>
      <c r="F32" s="41">
        <v>200755</v>
      </c>
      <c r="G32" s="41">
        <v>118187</v>
      </c>
      <c r="H32" s="41">
        <v>85324</v>
      </c>
      <c r="I32" s="41">
        <v>66952</v>
      </c>
      <c r="J32" s="41">
        <v>68303</v>
      </c>
      <c r="K32" s="20"/>
      <c r="L32" s="20"/>
      <c r="M32" s="41">
        <v>4235960</v>
      </c>
      <c r="N32" s="41">
        <v>2284308</v>
      </c>
      <c r="O32" s="41">
        <v>1212519</v>
      </c>
      <c r="P32" s="41">
        <v>793959</v>
      </c>
      <c r="Q32" s="41">
        <v>566684</v>
      </c>
      <c r="R32" s="41">
        <v>647307</v>
      </c>
      <c r="S32" s="20"/>
      <c r="T32" s="20"/>
      <c r="U32" s="41">
        <v>49364754</v>
      </c>
      <c r="V32" s="41">
        <v>22814705</v>
      </c>
      <c r="W32" s="41">
        <v>10751271</v>
      </c>
      <c r="X32" s="41">
        <v>8838914</v>
      </c>
      <c r="Y32" s="41">
        <v>7350734</v>
      </c>
      <c r="Z32" s="41">
        <v>8498119</v>
      </c>
      <c r="AA32" s="20"/>
      <c r="AB32" s="20"/>
      <c r="AC32" s="41">
        <v>814361360</v>
      </c>
      <c r="AD32" s="41">
        <v>241241478</v>
      </c>
      <c r="AE32" s="41">
        <v>128673429</v>
      </c>
      <c r="AF32" s="41">
        <v>196796099</v>
      </c>
      <c r="AG32" s="41">
        <v>217620084</v>
      </c>
      <c r="AH32" s="43">
        <v>252580543</v>
      </c>
      <c r="AI32" s="21"/>
    </row>
    <row r="33" spans="2:35" x14ac:dyDescent="0.3">
      <c r="B33" s="30"/>
      <c r="C33" s="23"/>
      <c r="D33" s="42" t="s">
        <v>38</v>
      </c>
      <c r="E33" s="41">
        <v>402688</v>
      </c>
      <c r="F33" s="41">
        <v>202492</v>
      </c>
      <c r="G33" s="41">
        <v>112438</v>
      </c>
      <c r="H33" s="41">
        <v>85487</v>
      </c>
      <c r="I33" s="41">
        <v>66977</v>
      </c>
      <c r="J33" s="41">
        <v>73198</v>
      </c>
      <c r="K33" s="20"/>
      <c r="L33" s="20"/>
      <c r="M33" s="41">
        <v>4243503</v>
      </c>
      <c r="N33" s="41">
        <v>2307908</v>
      </c>
      <c r="O33" s="41">
        <v>1221069</v>
      </c>
      <c r="P33" s="41">
        <v>786399</v>
      </c>
      <c r="Q33" s="41">
        <v>567499</v>
      </c>
      <c r="R33" s="41">
        <v>634774</v>
      </c>
      <c r="S33" s="20"/>
      <c r="T33" s="20"/>
      <c r="U33" s="41">
        <v>49292339</v>
      </c>
      <c r="V33" s="41">
        <v>22625835</v>
      </c>
      <c r="W33" s="41">
        <v>10576853</v>
      </c>
      <c r="X33" s="41">
        <v>8733944</v>
      </c>
      <c r="Y33" s="41">
        <v>7213495</v>
      </c>
      <c r="Z33" s="41">
        <v>8473054</v>
      </c>
      <c r="AA33" s="20"/>
      <c r="AB33" s="20"/>
      <c r="AC33" s="41">
        <v>816631501</v>
      </c>
      <c r="AD33" s="41">
        <v>242945080</v>
      </c>
      <c r="AE33" s="41">
        <v>134003221</v>
      </c>
      <c r="AF33" s="41">
        <v>195515337</v>
      </c>
      <c r="AG33" s="41">
        <v>208369779</v>
      </c>
      <c r="AH33" s="43">
        <v>244224301</v>
      </c>
      <c r="AI33" s="21"/>
    </row>
    <row r="34" spans="2:35" x14ac:dyDescent="0.3">
      <c r="B34" s="30"/>
      <c r="C34" s="23"/>
      <c r="D34" s="42" t="s">
        <v>39</v>
      </c>
      <c r="E34" s="41">
        <v>399396</v>
      </c>
      <c r="F34" s="41">
        <v>205811</v>
      </c>
      <c r="G34" s="41">
        <v>112043</v>
      </c>
      <c r="H34" s="41">
        <v>89685</v>
      </c>
      <c r="I34" s="41">
        <v>64121</v>
      </c>
      <c r="J34" s="41">
        <v>72316</v>
      </c>
      <c r="K34" s="20"/>
      <c r="L34" s="20"/>
      <c r="M34" s="41">
        <v>4234566</v>
      </c>
      <c r="N34" s="41">
        <v>2146158</v>
      </c>
      <c r="O34" s="41">
        <v>1221170</v>
      </c>
      <c r="P34" s="41">
        <v>799888</v>
      </c>
      <c r="Q34" s="41">
        <v>566647</v>
      </c>
      <c r="R34" s="41">
        <v>621184</v>
      </c>
      <c r="S34" s="20"/>
      <c r="T34" s="20"/>
      <c r="U34" s="41">
        <v>49347354</v>
      </c>
      <c r="V34" s="41">
        <v>22776000</v>
      </c>
      <c r="W34" s="41">
        <v>10618461</v>
      </c>
      <c r="X34" s="41">
        <v>8980370</v>
      </c>
      <c r="Y34" s="41">
        <v>7350587</v>
      </c>
      <c r="Z34" s="41">
        <v>8364282</v>
      </c>
      <c r="AA34" s="20"/>
      <c r="AB34" s="20"/>
      <c r="AC34" s="41">
        <v>807899118</v>
      </c>
      <c r="AD34" s="41">
        <v>242359012</v>
      </c>
      <c r="AE34" s="41">
        <v>132348882</v>
      </c>
      <c r="AF34" s="41">
        <v>179416552</v>
      </c>
      <c r="AG34" s="41">
        <v>207654213</v>
      </c>
      <c r="AH34" s="43">
        <v>237685101</v>
      </c>
      <c r="AI34" s="21"/>
    </row>
    <row r="35" spans="2:35" ht="15" thickBot="1" x14ac:dyDescent="0.35">
      <c r="B35" s="30"/>
      <c r="C35" s="24"/>
      <c r="D35" s="37" t="s">
        <v>44</v>
      </c>
      <c r="E35" s="25" cm="1">
        <f t="array" ref="E35">ROUND(AVERAGE(IF((ISNUMBER(E5:E34))*(E5:E34&lt;LARGE(E5:E34,2))*(E5:E34&gt;SMALL(E5:E34,2)),E5:E34)),0)</f>
        <v>401393</v>
      </c>
      <c r="F35" s="25" cm="1">
        <f t="array" ref="F35">ROUND(AVERAGE(IF((ISNUMBER(F5:F34))*(F5:F34&lt;LARGE(F5:F34,2))*(F5:F34&gt;SMALL(F5:F34,2)),F5:F34)),0)</f>
        <v>203454</v>
      </c>
      <c r="G35" s="25" cm="1">
        <f t="array" ref="G35">ROUND(AVERAGE(IF((ISNUMBER(G5:G34))*(G5:G34&lt;LARGE(G5:G34,2))*(G5:G34&gt;SMALL(G5:G34,2)),G5:G34)),0)</f>
        <v>112869</v>
      </c>
      <c r="H35" s="25" cm="1">
        <f t="array" ref="H35">ROUND(AVERAGE(IF((ISNUMBER(H5:H34))*(H5:H34&lt;LARGE(H5:H34,2))*(H5:H34&gt;SMALL(H5:H34,2)),H5:H34)),0)</f>
        <v>88035</v>
      </c>
      <c r="I35" s="25" cm="1">
        <f t="array" ref="I35">ROUND(AVERAGE(IF((ISNUMBER(I5:I34))*(I5:I34&lt;LARGE(I5:I34,2))*(I5:I34&gt;SMALL(I5:I34,2)),I5:I34)),0)</f>
        <v>66991</v>
      </c>
      <c r="J35" s="25" cm="1">
        <f t="array" ref="J35">ROUND(AVERAGE(IF((ISNUMBER(J5:J34))*(J5:J34&lt;LARGE(J5:J34,2))*(J5:J34&gt;SMALL(J5:J34,2)),J5:J34)),0)</f>
        <v>72364</v>
      </c>
      <c r="K35" s="25"/>
      <c r="L35" s="25"/>
      <c r="M35" s="25" cm="1">
        <f t="array" ref="M35">ROUND(AVERAGE(IF((ISNUMBER(M5:M34))*(M5:M34&lt;LARGE(M5:M34,2))*(M5:M34&gt;SMALL(M5:M34,2)),M5:M34)),0)</f>
        <v>4242407</v>
      </c>
      <c r="N35" s="25" cm="1">
        <f t="array" ref="N35">ROUND(AVERAGE(IF((ISNUMBER(N5:N34))*(N5:N34&lt;LARGE(N5:N34,2))*(N5:N34&gt;SMALL(N5:N34,2)),N5:N34)),0)</f>
        <v>2296733</v>
      </c>
      <c r="O35" s="25" cm="1">
        <f t="array" ref="O35">ROUND(AVERAGE(IF((ISNUMBER(O5:O34))*(O5:O34&lt;LARGE(O5:O34,2))*(O5:O34&gt;SMALL(O5:O34,2)),O5:O34)),0)</f>
        <v>1213640</v>
      </c>
      <c r="P35" s="25" cm="1">
        <f t="array" ref="P35">ROUND(AVERAGE(IF((ISNUMBER(P5:P34))*(P5:P34&lt;LARGE(P5:P34,2))*(P5:P34&gt;SMALL(P5:P34,2)),P5:P34)),0)</f>
        <v>793565</v>
      </c>
      <c r="Q35" s="25" cm="1">
        <f t="array" ref="Q35">ROUND(AVERAGE(IF((ISNUMBER(Q5:Q34))*(Q5:Q34&lt;LARGE(Q5:Q34,2))*(Q5:Q34&gt;SMALL(Q5:Q34,2)),Q5:Q34)),0)</f>
        <v>569073</v>
      </c>
      <c r="R35" s="25" cm="1">
        <f t="array" ref="R35">ROUND(AVERAGE(IF((ISNUMBER(R5:R34))*(R5:R34&lt;LARGE(R5:R34,2))*(R5:R34&gt;SMALL(R5:R34,2)),R5:R34)),0)</f>
        <v>619836</v>
      </c>
      <c r="S35" s="25"/>
      <c r="T35" s="25"/>
      <c r="U35" s="25" cm="1">
        <f t="array" ref="U35">ROUND(AVERAGE(IF((ISNUMBER(U5:U34))*(U5:U34&lt;LARGE(U5:U34,2))*(U5:U34&gt;SMALL(U5:U34,2)),U5:U34)),0)</f>
        <v>49537467</v>
      </c>
      <c r="V35" s="25" cm="1">
        <f t="array" ref="V35">ROUND(AVERAGE(IF((ISNUMBER(V5:V34))*(V5:V34&lt;LARGE(V5:V34,2))*(V5:V34&gt;SMALL(V5:V34,2)),V5:V34)),0)</f>
        <v>22686368</v>
      </c>
      <c r="W35" s="25" cm="1">
        <f t="array" ref="W35">ROUND(AVERAGE(IF((ISNUMBER(W5:W34))*(W5:W34&lt;LARGE(W5:W34,2))*(W5:W34&gt;SMALL(W5:W34,2)),W5:W34)),0)</f>
        <v>10643457</v>
      </c>
      <c r="X35" s="25" cm="1">
        <f t="array" ref="X35">ROUND(AVERAGE(IF((ISNUMBER(X5:X34))*(X5:X34&lt;LARGE(X5:X34,2))*(X5:X34&gt;SMALL(X5:X34,2)),X5:X34)),0)</f>
        <v>8858331</v>
      </c>
      <c r="Y35" s="25" cm="1">
        <f t="array" ref="Y35">ROUND(AVERAGE(IF((ISNUMBER(Y5:Y34))*(Y5:Y34&lt;LARGE(Y5:Y34,2))*(Y5:Y34&gt;SMALL(Y5:Y34,2)),Y5:Y34)),0)</f>
        <v>7350716</v>
      </c>
      <c r="Z35" s="25" cm="1">
        <f t="array" ref="Z35">ROUND(AVERAGE(IF((ISNUMBER(Z5:Z34))*(Z5:Z34&lt;LARGE(Z5:Z34,2))*(Z5:Z34&gt;SMALL(Z5:Z34,2)),Z5:Z34)),0)</f>
        <v>8402492</v>
      </c>
      <c r="AA35" s="25"/>
      <c r="AB35" s="25"/>
      <c r="AC35" s="25" cm="1">
        <f t="array" ref="AC35">ROUND(AVERAGE(IF((ISNUMBER(AC5:AC34))*(AC5:AC34&lt;LARGE(AC5:AC34,2))*(AC5:AC34&gt;SMALL(AC5:AC34,2)),AC5:AC34)),0)</f>
        <v>730248566</v>
      </c>
      <c r="AD35" s="25" cm="1">
        <f t="array" ref="AD35">ROUND(AVERAGE(IF((ISNUMBER(AD5:AD34))*(AD5:AD34&lt;LARGE(AD5:AD34,2))*(AD5:AD34&gt;SMALL(AD5:AD34,2)),AD5:AD34)),0)</f>
        <v>240286906</v>
      </c>
      <c r="AE35" s="25" cm="1">
        <f t="array" ref="AE35">ROUND(AVERAGE(IF((ISNUMBER(AE5:AE34))*(AE5:AE34&lt;LARGE(AE5:AE34,2))*(AE5:AE34&gt;SMALL(AE5:AE34,2)),AE5:AE34)),0)</f>
        <v>134957985</v>
      </c>
      <c r="AF35" s="25" cm="1">
        <f t="array" ref="AF35">ROUND(AVERAGE(IF((ISNUMBER(AF5:AF34))*(AF5:AF34&lt;LARGE(AF5:AF34,2))*(AF5:AF34&gt;SMALL(AF5:AF34,2)),AF5:AF34)),0)</f>
        <v>159173441</v>
      </c>
      <c r="AG35" s="25" cm="1">
        <f t="array" ref="AG35">ROUND(AVERAGE(IF((ISNUMBER(AG5:AG34))*(AG5:AG34&lt;LARGE(AG5:AG34,2))*(AG5:AG34&gt;SMALL(AG5:AG34,2)),AG5:AG34)),0)</f>
        <v>184200283</v>
      </c>
      <c r="AH35" s="26" cm="1">
        <f t="array" ref="AH35">ROUND(AVERAGE(IF((ISNUMBER(AH5:AH34))*(AH5:AH34&lt;LARGE(AH5:AH34,2))*(AH5:AH34&gt;SMALL(AH5:AH34,2)),AH5:AH34)),0)</f>
        <v>249491308</v>
      </c>
      <c r="AI35" s="21"/>
    </row>
    <row r="36" spans="2:35" ht="15" thickBot="1" x14ac:dyDescent="0.35">
      <c r="B36" s="31"/>
      <c r="C36" s="28"/>
      <c r="D36" s="3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9"/>
    </row>
    <row r="37" spans="2:35" ht="15" thickBot="1" x14ac:dyDescent="0.35">
      <c r="B37" s="32"/>
      <c r="D37" s="1"/>
    </row>
    <row r="38" spans="2:35" ht="36.6" x14ac:dyDescent="0.7">
      <c r="B38" s="33" t="s">
        <v>41</v>
      </c>
      <c r="C38" s="15"/>
      <c r="D38" s="3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7"/>
    </row>
    <row r="39" spans="2:35" ht="15" thickBot="1" x14ac:dyDescent="0.35">
      <c r="B39" s="34"/>
      <c r="C39" s="19"/>
      <c r="D39" s="4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1"/>
    </row>
    <row r="40" spans="2:35" x14ac:dyDescent="0.3">
      <c r="B40" s="30"/>
      <c r="C40" s="44" t="s">
        <v>0</v>
      </c>
      <c r="D40" s="35"/>
      <c r="E40" s="35" t="s">
        <v>1</v>
      </c>
      <c r="F40" s="35" t="s">
        <v>2</v>
      </c>
      <c r="G40" s="35" t="s">
        <v>3</v>
      </c>
      <c r="H40" s="35" t="s">
        <v>4</v>
      </c>
      <c r="I40" s="35" t="s">
        <v>5</v>
      </c>
      <c r="J40" s="35" t="s">
        <v>6</v>
      </c>
      <c r="K40" s="46" t="s">
        <v>7</v>
      </c>
      <c r="L40" s="46"/>
      <c r="M40" s="35" t="s">
        <v>1</v>
      </c>
      <c r="N40" s="35" t="s">
        <v>2</v>
      </c>
      <c r="O40" s="35" t="s">
        <v>3</v>
      </c>
      <c r="P40" s="35" t="s">
        <v>4</v>
      </c>
      <c r="Q40" s="35" t="s">
        <v>5</v>
      </c>
      <c r="R40" s="35" t="s">
        <v>6</v>
      </c>
      <c r="S40" s="46" t="s">
        <v>8</v>
      </c>
      <c r="T40" s="46"/>
      <c r="U40" s="35" t="s">
        <v>1</v>
      </c>
      <c r="V40" s="35" t="s">
        <v>2</v>
      </c>
      <c r="W40" s="35" t="s">
        <v>3</v>
      </c>
      <c r="X40" s="35" t="s">
        <v>4</v>
      </c>
      <c r="Y40" s="35" t="s">
        <v>5</v>
      </c>
      <c r="Z40" s="35" t="s">
        <v>6</v>
      </c>
      <c r="AA40" s="46" t="s">
        <v>9</v>
      </c>
      <c r="AB40" s="46"/>
      <c r="AC40" s="35" t="s">
        <v>1</v>
      </c>
      <c r="AD40" s="35" t="s">
        <v>2</v>
      </c>
      <c r="AE40" s="35" t="s">
        <v>3</v>
      </c>
      <c r="AF40" s="35" t="s">
        <v>4</v>
      </c>
      <c r="AG40" s="35" t="s">
        <v>5</v>
      </c>
      <c r="AH40" s="36" t="s">
        <v>6</v>
      </c>
      <c r="AI40" s="21"/>
    </row>
    <row r="41" spans="2:35" x14ac:dyDescent="0.3">
      <c r="B41" s="30"/>
      <c r="C41" s="23"/>
      <c r="D41" s="42" t="s">
        <v>10</v>
      </c>
      <c r="E41" s="41">
        <v>112606</v>
      </c>
      <c r="F41" s="41">
        <v>63894</v>
      </c>
      <c r="G41" s="41">
        <v>36484</v>
      </c>
      <c r="H41" s="41">
        <v>32652</v>
      </c>
      <c r="I41" s="41">
        <v>27172</v>
      </c>
      <c r="J41" s="41">
        <v>25608</v>
      </c>
      <c r="K41" s="20"/>
      <c r="L41" s="20"/>
      <c r="M41" s="41">
        <v>1728299</v>
      </c>
      <c r="N41" s="41">
        <v>1017250</v>
      </c>
      <c r="O41" s="41">
        <v>481903</v>
      </c>
      <c r="P41" s="41">
        <v>371828</v>
      </c>
      <c r="Q41" s="41">
        <v>434753</v>
      </c>
      <c r="R41" s="41">
        <v>466949</v>
      </c>
      <c r="S41" s="20"/>
      <c r="T41" s="20"/>
      <c r="U41" s="41">
        <v>46452672</v>
      </c>
      <c r="V41" s="41">
        <v>22259491</v>
      </c>
      <c r="W41" s="41">
        <v>9661077</v>
      </c>
      <c r="X41" s="41">
        <v>8248048</v>
      </c>
      <c r="Y41" s="41">
        <v>8340867</v>
      </c>
      <c r="Z41" s="41">
        <v>9098514</v>
      </c>
      <c r="AA41" s="20"/>
      <c r="AB41" s="20"/>
      <c r="AC41" s="41">
        <v>652186360</v>
      </c>
      <c r="AD41" s="41">
        <v>248655255</v>
      </c>
      <c r="AE41" s="41">
        <v>129783550</v>
      </c>
      <c r="AF41" s="41">
        <v>120815981</v>
      </c>
      <c r="AG41" s="41">
        <v>145919284</v>
      </c>
      <c r="AH41" s="43">
        <v>210203326</v>
      </c>
      <c r="AI41" s="21"/>
    </row>
    <row r="42" spans="2:35" x14ac:dyDescent="0.3">
      <c r="B42" s="30"/>
      <c r="C42" s="23"/>
      <c r="D42" s="42" t="s">
        <v>11</v>
      </c>
      <c r="E42" s="41">
        <v>117546</v>
      </c>
      <c r="F42" s="41">
        <v>57011</v>
      </c>
      <c r="G42" s="41">
        <v>36361</v>
      </c>
      <c r="H42" s="41">
        <v>32999</v>
      </c>
      <c r="I42" s="41">
        <v>28211</v>
      </c>
      <c r="J42" s="41">
        <v>24406</v>
      </c>
      <c r="K42" s="20"/>
      <c r="L42" s="20"/>
      <c r="M42" s="41">
        <v>1726568</v>
      </c>
      <c r="N42" s="41">
        <v>1028140</v>
      </c>
      <c r="O42" s="41">
        <v>471306</v>
      </c>
      <c r="P42" s="41">
        <v>369575</v>
      </c>
      <c r="Q42" s="41">
        <v>448092</v>
      </c>
      <c r="R42" s="41">
        <v>454965</v>
      </c>
      <c r="S42" s="20"/>
      <c r="T42" s="20"/>
      <c r="U42" s="41">
        <v>48710823</v>
      </c>
      <c r="V42" s="41">
        <v>22260217</v>
      </c>
      <c r="W42" s="41">
        <v>9268648</v>
      </c>
      <c r="X42" s="41">
        <v>7933597</v>
      </c>
      <c r="Y42" s="41">
        <v>8474824</v>
      </c>
      <c r="Z42" s="41">
        <v>9248156</v>
      </c>
      <c r="AA42" s="20"/>
      <c r="AB42" s="20"/>
      <c r="AC42" s="41">
        <v>626923869</v>
      </c>
      <c r="AD42" s="41">
        <v>247964388</v>
      </c>
      <c r="AE42" s="41">
        <v>129474553</v>
      </c>
      <c r="AF42" s="41">
        <v>122874315</v>
      </c>
      <c r="AG42" s="41">
        <v>128125448</v>
      </c>
      <c r="AH42" s="43">
        <v>206421691</v>
      </c>
      <c r="AI42" s="21"/>
    </row>
    <row r="43" spans="2:35" x14ac:dyDescent="0.3">
      <c r="B43" s="30"/>
      <c r="C43" s="23"/>
      <c r="D43" s="42" t="s">
        <v>12</v>
      </c>
      <c r="E43" s="41">
        <v>115134</v>
      </c>
      <c r="F43" s="41">
        <v>57898</v>
      </c>
      <c r="G43" s="41">
        <v>33466</v>
      </c>
      <c r="H43" s="41">
        <v>36672</v>
      </c>
      <c r="I43" s="41">
        <v>30453</v>
      </c>
      <c r="J43" s="41">
        <v>25943</v>
      </c>
      <c r="K43" s="20"/>
      <c r="L43" s="20"/>
      <c r="M43" s="41">
        <v>1729424</v>
      </c>
      <c r="N43" s="41">
        <v>1035597</v>
      </c>
      <c r="O43" s="41">
        <v>481289</v>
      </c>
      <c r="P43" s="41">
        <v>375312</v>
      </c>
      <c r="Q43" s="41">
        <v>440157</v>
      </c>
      <c r="R43" s="41">
        <v>452086</v>
      </c>
      <c r="S43" s="20"/>
      <c r="T43" s="20"/>
      <c r="U43" s="41">
        <v>46117756</v>
      </c>
      <c r="V43" s="41">
        <v>21722997</v>
      </c>
      <c r="W43" s="41">
        <v>9557284</v>
      </c>
      <c r="X43" s="41">
        <v>7938656</v>
      </c>
      <c r="Y43" s="41">
        <v>8628539</v>
      </c>
      <c r="Z43" s="41">
        <v>9142764</v>
      </c>
      <c r="AA43" s="20"/>
      <c r="AB43" s="20"/>
      <c r="AC43" s="41">
        <v>572458448</v>
      </c>
      <c r="AD43" s="41">
        <v>247697513</v>
      </c>
      <c r="AE43" s="41">
        <v>129865916</v>
      </c>
      <c r="AF43" s="41">
        <v>117610310</v>
      </c>
      <c r="AG43" s="41">
        <v>147740895</v>
      </c>
      <c r="AH43" s="43">
        <v>222342855</v>
      </c>
      <c r="AI43" s="21"/>
    </row>
    <row r="44" spans="2:35" x14ac:dyDescent="0.3">
      <c r="B44" s="30"/>
      <c r="C44" s="23"/>
      <c r="D44" s="42" t="s">
        <v>13</v>
      </c>
      <c r="E44" s="41">
        <v>117201</v>
      </c>
      <c r="F44" s="41">
        <v>57337</v>
      </c>
      <c r="G44" s="41">
        <v>39452</v>
      </c>
      <c r="H44" s="41">
        <v>30896</v>
      </c>
      <c r="I44" s="41">
        <v>31161</v>
      </c>
      <c r="J44" s="41">
        <v>24612</v>
      </c>
      <c r="K44" s="20"/>
      <c r="L44" s="20"/>
      <c r="M44" s="41">
        <v>1667214</v>
      </c>
      <c r="N44" s="41">
        <v>1023468</v>
      </c>
      <c r="O44" s="41">
        <v>471051</v>
      </c>
      <c r="P44" s="41">
        <v>374780</v>
      </c>
      <c r="Q44" s="41">
        <v>423650</v>
      </c>
      <c r="R44" s="41">
        <v>462789</v>
      </c>
      <c r="S44" s="20"/>
      <c r="T44" s="20"/>
      <c r="U44" s="41">
        <v>48198824</v>
      </c>
      <c r="V44" s="41">
        <v>21980299</v>
      </c>
      <c r="W44" s="41">
        <v>9211744</v>
      </c>
      <c r="X44" s="41">
        <v>7895357</v>
      </c>
      <c r="Y44" s="41">
        <v>8596098</v>
      </c>
      <c r="Z44" s="41">
        <v>9138626</v>
      </c>
      <c r="AA44" s="20"/>
      <c r="AB44" s="20"/>
      <c r="AC44" s="41">
        <v>636956441</v>
      </c>
      <c r="AD44" s="41">
        <v>248095478</v>
      </c>
      <c r="AE44" s="41">
        <v>128179136</v>
      </c>
      <c r="AF44" s="41">
        <v>123265376</v>
      </c>
      <c r="AG44" s="41">
        <v>123910291</v>
      </c>
      <c r="AH44" s="43">
        <v>230304551</v>
      </c>
      <c r="AI44" s="21"/>
    </row>
    <row r="45" spans="2:35" x14ac:dyDescent="0.3">
      <c r="B45" s="30"/>
      <c r="C45" s="23"/>
      <c r="D45" s="42" t="s">
        <v>14</v>
      </c>
      <c r="E45" s="41">
        <v>112204</v>
      </c>
      <c r="F45" s="41">
        <v>57396</v>
      </c>
      <c r="G45" s="41">
        <v>35845</v>
      </c>
      <c r="H45" s="41">
        <v>32095</v>
      </c>
      <c r="I45" s="41">
        <v>26629</v>
      </c>
      <c r="J45" s="41">
        <v>22758</v>
      </c>
      <c r="K45" s="20"/>
      <c r="L45" s="20"/>
      <c r="M45" s="41">
        <v>1751330</v>
      </c>
      <c r="N45" s="41">
        <v>1004953</v>
      </c>
      <c r="O45" s="41">
        <v>477806</v>
      </c>
      <c r="P45" s="41">
        <v>374553</v>
      </c>
      <c r="Q45" s="41">
        <v>429304</v>
      </c>
      <c r="R45" s="41">
        <v>463760</v>
      </c>
      <c r="S45" s="20"/>
      <c r="T45" s="20"/>
      <c r="U45" s="41">
        <v>47963590</v>
      </c>
      <c r="V45" s="41">
        <v>21782671</v>
      </c>
      <c r="W45" s="41">
        <v>9354245</v>
      </c>
      <c r="X45" s="41">
        <v>8542147</v>
      </c>
      <c r="Y45" s="41">
        <v>8607559</v>
      </c>
      <c r="Z45" s="41">
        <v>9150147</v>
      </c>
      <c r="AA45" s="20"/>
      <c r="AB45" s="20"/>
      <c r="AC45" s="41">
        <v>629271379</v>
      </c>
      <c r="AD45" s="41">
        <v>246777378</v>
      </c>
      <c r="AE45" s="41">
        <v>128958457</v>
      </c>
      <c r="AF45" s="41">
        <v>113611196</v>
      </c>
      <c r="AG45" s="41">
        <v>133431343</v>
      </c>
      <c r="AH45" s="43">
        <v>208110315</v>
      </c>
      <c r="AI45" s="21"/>
    </row>
    <row r="46" spans="2:35" x14ac:dyDescent="0.3">
      <c r="B46" s="30"/>
      <c r="C46" s="23"/>
      <c r="D46" s="42" t="s">
        <v>15</v>
      </c>
      <c r="E46" s="41">
        <v>115625</v>
      </c>
      <c r="F46" s="41">
        <v>58846</v>
      </c>
      <c r="G46" s="41">
        <v>43286</v>
      </c>
      <c r="H46" s="41">
        <v>35715</v>
      </c>
      <c r="I46" s="41">
        <v>27702</v>
      </c>
      <c r="J46" s="41">
        <v>22597</v>
      </c>
      <c r="K46" s="20"/>
      <c r="L46" s="20"/>
      <c r="M46" s="41">
        <v>1740039</v>
      </c>
      <c r="N46" s="41">
        <v>1041380</v>
      </c>
      <c r="O46" s="41">
        <v>477717</v>
      </c>
      <c r="P46" s="41">
        <v>361013</v>
      </c>
      <c r="Q46" s="41">
        <v>437364</v>
      </c>
      <c r="R46" s="41">
        <v>444983</v>
      </c>
      <c r="S46" s="20"/>
      <c r="T46" s="20"/>
      <c r="U46" s="41">
        <v>47009358</v>
      </c>
      <c r="V46" s="41">
        <v>22074918</v>
      </c>
      <c r="W46" s="41">
        <v>9410751</v>
      </c>
      <c r="X46" s="41">
        <v>7952960</v>
      </c>
      <c r="Y46" s="41">
        <v>8500333</v>
      </c>
      <c r="Z46" s="41">
        <v>9108529</v>
      </c>
      <c r="AA46" s="20"/>
      <c r="AB46" s="20"/>
      <c r="AC46" s="41">
        <v>570316242</v>
      </c>
      <c r="AD46" s="41">
        <v>247280973</v>
      </c>
      <c r="AE46" s="41">
        <v>129491023</v>
      </c>
      <c r="AF46" s="41">
        <v>120449250</v>
      </c>
      <c r="AG46" s="41">
        <v>118004548</v>
      </c>
      <c r="AH46" s="43">
        <v>181757845</v>
      </c>
      <c r="AI46" s="21"/>
    </row>
    <row r="47" spans="2:35" x14ac:dyDescent="0.3">
      <c r="B47" s="30"/>
      <c r="C47" s="23"/>
      <c r="D47" s="42" t="s">
        <v>16</v>
      </c>
      <c r="E47" s="41">
        <v>111966</v>
      </c>
      <c r="F47" s="41">
        <v>56807</v>
      </c>
      <c r="G47" s="41">
        <v>42328</v>
      </c>
      <c r="H47" s="41">
        <v>31792</v>
      </c>
      <c r="I47" s="41">
        <v>28163</v>
      </c>
      <c r="J47" s="41">
        <v>25793</v>
      </c>
      <c r="K47" s="20"/>
      <c r="L47" s="20"/>
      <c r="M47" s="41">
        <v>1739006</v>
      </c>
      <c r="N47" s="41">
        <v>1022626</v>
      </c>
      <c r="O47" s="41">
        <v>479974</v>
      </c>
      <c r="P47" s="41">
        <v>366913</v>
      </c>
      <c r="Q47" s="41">
        <v>426605</v>
      </c>
      <c r="R47" s="41">
        <v>463702</v>
      </c>
      <c r="S47" s="20"/>
      <c r="T47" s="20"/>
      <c r="U47" s="41">
        <v>48405625</v>
      </c>
      <c r="V47" s="41">
        <v>22281673</v>
      </c>
      <c r="W47" s="41">
        <v>9534379</v>
      </c>
      <c r="X47" s="41">
        <v>7939857</v>
      </c>
      <c r="Y47" s="41">
        <v>8323668</v>
      </c>
      <c r="Z47" s="41">
        <v>9059266</v>
      </c>
      <c r="AA47" s="20"/>
      <c r="AB47" s="20"/>
      <c r="AC47" s="41">
        <v>625136819</v>
      </c>
      <c r="AD47" s="41">
        <v>247275583</v>
      </c>
      <c r="AE47" s="41">
        <v>129406103</v>
      </c>
      <c r="AF47" s="41">
        <v>109239698</v>
      </c>
      <c r="AG47" s="41">
        <v>145188538</v>
      </c>
      <c r="AH47" s="43">
        <v>178939937</v>
      </c>
      <c r="AI47" s="21"/>
    </row>
    <row r="48" spans="2:35" x14ac:dyDescent="0.3">
      <c r="B48" s="30"/>
      <c r="C48" s="23"/>
      <c r="D48" s="42" t="s">
        <v>17</v>
      </c>
      <c r="E48" s="41">
        <v>113099</v>
      </c>
      <c r="F48" s="41">
        <v>57561</v>
      </c>
      <c r="G48" s="41">
        <v>43541</v>
      </c>
      <c r="H48" s="41">
        <v>37520</v>
      </c>
      <c r="I48" s="41">
        <v>28565</v>
      </c>
      <c r="J48" s="41">
        <v>25255</v>
      </c>
      <c r="K48" s="20"/>
      <c r="L48" s="20"/>
      <c r="M48" s="41">
        <v>1750059</v>
      </c>
      <c r="N48" s="41">
        <v>1074422</v>
      </c>
      <c r="O48" s="41">
        <v>477368</v>
      </c>
      <c r="P48" s="41">
        <v>368395</v>
      </c>
      <c r="Q48" s="41">
        <v>442745</v>
      </c>
      <c r="R48" s="41">
        <v>461353</v>
      </c>
      <c r="S48" s="20"/>
      <c r="T48" s="20"/>
      <c r="U48" s="41">
        <v>46562061</v>
      </c>
      <c r="V48" s="41">
        <v>22125011</v>
      </c>
      <c r="W48" s="41">
        <v>9453482</v>
      </c>
      <c r="X48" s="41">
        <v>7955191</v>
      </c>
      <c r="Y48" s="41">
        <v>8344124</v>
      </c>
      <c r="Z48" s="41">
        <v>9221350</v>
      </c>
      <c r="AA48" s="20"/>
      <c r="AB48" s="20"/>
      <c r="AC48" s="41">
        <v>598172745</v>
      </c>
      <c r="AD48" s="41">
        <v>247531508</v>
      </c>
      <c r="AE48" s="41">
        <v>129707680</v>
      </c>
      <c r="AF48" s="41">
        <v>119109411</v>
      </c>
      <c r="AG48" s="41">
        <v>123632923</v>
      </c>
      <c r="AH48" s="43">
        <v>166150061</v>
      </c>
      <c r="AI48" s="21"/>
    </row>
    <row r="49" spans="2:35" x14ac:dyDescent="0.3">
      <c r="B49" s="30"/>
      <c r="C49" s="23"/>
      <c r="D49" s="42" t="s">
        <v>18</v>
      </c>
      <c r="E49" s="41">
        <v>118448</v>
      </c>
      <c r="F49" s="41">
        <v>57465</v>
      </c>
      <c r="G49" s="41">
        <v>43667</v>
      </c>
      <c r="H49" s="41">
        <v>33526</v>
      </c>
      <c r="I49" s="41">
        <v>31641</v>
      </c>
      <c r="J49" s="41">
        <v>25178</v>
      </c>
      <c r="K49" s="20"/>
      <c r="L49" s="20"/>
      <c r="M49" s="41">
        <v>1712451</v>
      </c>
      <c r="N49" s="41">
        <v>1030893</v>
      </c>
      <c r="O49" s="41">
        <v>478149</v>
      </c>
      <c r="P49" s="41">
        <v>376985</v>
      </c>
      <c r="Q49" s="41">
        <v>433730</v>
      </c>
      <c r="R49" s="41">
        <v>463048</v>
      </c>
      <c r="S49" s="20"/>
      <c r="T49" s="20"/>
      <c r="U49" s="41">
        <v>45979789</v>
      </c>
      <c r="V49" s="41">
        <v>22160151</v>
      </c>
      <c r="W49" s="41">
        <v>9359702</v>
      </c>
      <c r="X49" s="41">
        <v>7927005</v>
      </c>
      <c r="Y49" s="41">
        <v>8241637</v>
      </c>
      <c r="Z49" s="41">
        <v>9132851</v>
      </c>
      <c r="AA49" s="20"/>
      <c r="AB49" s="20"/>
      <c r="AC49" s="41">
        <v>733749926</v>
      </c>
      <c r="AD49" s="41">
        <v>247889532</v>
      </c>
      <c r="AE49" s="41">
        <v>129430666</v>
      </c>
      <c r="AF49" s="41">
        <v>118361987</v>
      </c>
      <c r="AG49" s="41">
        <v>128572596</v>
      </c>
      <c r="AH49" s="43">
        <v>194470656</v>
      </c>
      <c r="AI49" s="21"/>
    </row>
    <row r="50" spans="2:35" x14ac:dyDescent="0.3">
      <c r="B50" s="30"/>
      <c r="C50" s="23"/>
      <c r="D50" s="42" t="s">
        <v>19</v>
      </c>
      <c r="E50" s="41">
        <v>112210</v>
      </c>
      <c r="F50" s="41">
        <v>57083</v>
      </c>
      <c r="G50" s="41">
        <v>39152</v>
      </c>
      <c r="H50" s="41">
        <v>33581</v>
      </c>
      <c r="I50" s="41">
        <v>25539</v>
      </c>
      <c r="J50" s="41">
        <v>25530</v>
      </c>
      <c r="K50" s="20"/>
      <c r="L50" s="20"/>
      <c r="M50" s="41">
        <v>1724917</v>
      </c>
      <c r="N50" s="41">
        <v>1069366</v>
      </c>
      <c r="O50" s="41">
        <v>484661</v>
      </c>
      <c r="P50" s="41">
        <v>367651</v>
      </c>
      <c r="Q50" s="41">
        <v>434067</v>
      </c>
      <c r="R50" s="41">
        <v>461466</v>
      </c>
      <c r="S50" s="20"/>
      <c r="T50" s="20"/>
      <c r="U50" s="41">
        <v>47737663</v>
      </c>
      <c r="V50" s="41">
        <v>21655980</v>
      </c>
      <c r="W50" s="41">
        <v>9395856</v>
      </c>
      <c r="X50" s="41">
        <v>7929679</v>
      </c>
      <c r="Y50" s="41">
        <v>8483721</v>
      </c>
      <c r="Z50" s="41">
        <v>9113391</v>
      </c>
      <c r="AA50" s="20"/>
      <c r="AB50" s="20"/>
      <c r="AC50" s="41">
        <v>574610422</v>
      </c>
      <c r="AD50" s="41">
        <v>247130274</v>
      </c>
      <c r="AE50" s="41">
        <v>128938447</v>
      </c>
      <c r="AF50" s="41">
        <v>113381882</v>
      </c>
      <c r="AG50" s="41">
        <v>158573131</v>
      </c>
      <c r="AH50" s="43">
        <v>160577586</v>
      </c>
      <c r="AI50" s="21"/>
    </row>
    <row r="51" spans="2:35" x14ac:dyDescent="0.3">
      <c r="B51" s="30"/>
      <c r="C51" s="23"/>
      <c r="D51" s="42" t="s">
        <v>20</v>
      </c>
      <c r="E51" s="41">
        <v>112217</v>
      </c>
      <c r="F51" s="41">
        <v>56930</v>
      </c>
      <c r="G51" s="41">
        <v>42794</v>
      </c>
      <c r="H51" s="41">
        <v>31826</v>
      </c>
      <c r="I51" s="41">
        <v>28307</v>
      </c>
      <c r="J51" s="41">
        <v>23271</v>
      </c>
      <c r="K51" s="20"/>
      <c r="L51" s="20"/>
      <c r="M51" s="41">
        <v>1700622</v>
      </c>
      <c r="N51" s="41">
        <v>1038783</v>
      </c>
      <c r="O51" s="41">
        <v>479038</v>
      </c>
      <c r="P51" s="41">
        <v>372107</v>
      </c>
      <c r="Q51" s="41">
        <v>434861</v>
      </c>
      <c r="R51" s="41">
        <v>445285</v>
      </c>
      <c r="S51" s="20"/>
      <c r="T51" s="20"/>
      <c r="U51" s="41">
        <v>45794820</v>
      </c>
      <c r="V51" s="41">
        <v>21622688</v>
      </c>
      <c r="W51" s="41">
        <v>9316054</v>
      </c>
      <c r="X51" s="41">
        <v>8284313</v>
      </c>
      <c r="Y51" s="41">
        <v>8439461</v>
      </c>
      <c r="Z51" s="41">
        <v>9214253</v>
      </c>
      <c r="AA51" s="20"/>
      <c r="AB51" s="20"/>
      <c r="AC51" s="41">
        <v>575667544</v>
      </c>
      <c r="AD51" s="41">
        <v>249640352</v>
      </c>
      <c r="AE51" s="41">
        <v>121708186</v>
      </c>
      <c r="AF51" s="41">
        <v>115012936</v>
      </c>
      <c r="AG51" s="41">
        <v>157806825</v>
      </c>
      <c r="AH51" s="43">
        <v>191223652</v>
      </c>
      <c r="AI51" s="21"/>
    </row>
    <row r="52" spans="2:35" x14ac:dyDescent="0.3">
      <c r="B52" s="30"/>
      <c r="C52" s="23"/>
      <c r="D52" s="42" t="s">
        <v>21</v>
      </c>
      <c r="E52" s="41">
        <v>112558</v>
      </c>
      <c r="F52" s="41">
        <v>57195</v>
      </c>
      <c r="G52" s="41">
        <v>37952</v>
      </c>
      <c r="H52" s="41">
        <v>28562</v>
      </c>
      <c r="I52" s="41">
        <v>28886</v>
      </c>
      <c r="J52" s="41">
        <v>26251</v>
      </c>
      <c r="K52" s="20"/>
      <c r="L52" s="20"/>
      <c r="M52" s="41">
        <v>1673157</v>
      </c>
      <c r="N52" s="41">
        <v>1005172</v>
      </c>
      <c r="O52" s="41">
        <v>478298</v>
      </c>
      <c r="P52" s="41">
        <v>368872</v>
      </c>
      <c r="Q52" s="41">
        <v>437510</v>
      </c>
      <c r="R52" s="41">
        <v>449272</v>
      </c>
      <c r="S52" s="20"/>
      <c r="T52" s="20"/>
      <c r="U52" s="41">
        <v>45990157</v>
      </c>
      <c r="V52" s="41">
        <v>21526295</v>
      </c>
      <c r="W52" s="41">
        <v>9520001</v>
      </c>
      <c r="X52" s="41">
        <v>7967432</v>
      </c>
      <c r="Y52" s="41">
        <v>8250378</v>
      </c>
      <c r="Z52" s="41">
        <v>9214728</v>
      </c>
      <c r="AA52" s="20"/>
      <c r="AB52" s="20"/>
      <c r="AC52" s="41">
        <v>574817781</v>
      </c>
      <c r="AD52" s="41">
        <v>247650531</v>
      </c>
      <c r="AE52" s="41">
        <v>123437260</v>
      </c>
      <c r="AF52" s="41">
        <v>116078961</v>
      </c>
      <c r="AG52" s="41">
        <v>151581425</v>
      </c>
      <c r="AH52" s="43">
        <v>181717262</v>
      </c>
      <c r="AI52" s="21"/>
    </row>
    <row r="53" spans="2:35" x14ac:dyDescent="0.3">
      <c r="B53" s="30"/>
      <c r="C53" s="23"/>
      <c r="D53" s="42" t="s">
        <v>22</v>
      </c>
      <c r="E53" s="41">
        <v>113642</v>
      </c>
      <c r="F53" s="41">
        <v>57287</v>
      </c>
      <c r="G53" s="41">
        <v>33855</v>
      </c>
      <c r="H53" s="41">
        <v>34540</v>
      </c>
      <c r="I53" s="41">
        <v>29389</v>
      </c>
      <c r="J53" s="41">
        <v>26348</v>
      </c>
      <c r="K53" s="20"/>
      <c r="L53" s="20"/>
      <c r="M53" s="41">
        <v>1729223</v>
      </c>
      <c r="N53" s="41">
        <v>1007380</v>
      </c>
      <c r="O53" s="41">
        <v>474235</v>
      </c>
      <c r="P53" s="41">
        <v>376661</v>
      </c>
      <c r="Q53" s="41">
        <v>431391</v>
      </c>
      <c r="R53" s="41">
        <v>452392</v>
      </c>
      <c r="S53" s="20"/>
      <c r="T53" s="20"/>
      <c r="U53" s="41">
        <v>47114097</v>
      </c>
      <c r="V53" s="41">
        <v>22033664</v>
      </c>
      <c r="W53" s="41">
        <v>9385681</v>
      </c>
      <c r="X53" s="41">
        <v>7968065</v>
      </c>
      <c r="Y53" s="41">
        <v>8499716</v>
      </c>
      <c r="Z53" s="41">
        <v>9209318</v>
      </c>
      <c r="AA53" s="20"/>
      <c r="AB53" s="20"/>
      <c r="AC53" s="41">
        <v>632848852</v>
      </c>
      <c r="AD53" s="41">
        <v>247993274</v>
      </c>
      <c r="AE53" s="41">
        <v>122086039</v>
      </c>
      <c r="AF53" s="41">
        <v>128428842</v>
      </c>
      <c r="AG53" s="41">
        <v>159220483</v>
      </c>
      <c r="AH53" s="43">
        <v>158830615</v>
      </c>
      <c r="AI53" s="21"/>
    </row>
    <row r="54" spans="2:35" x14ac:dyDescent="0.3">
      <c r="B54" s="30"/>
      <c r="C54" s="23"/>
      <c r="D54" s="42" t="s">
        <v>23</v>
      </c>
      <c r="E54" s="41">
        <v>111622</v>
      </c>
      <c r="F54" s="41">
        <v>60971</v>
      </c>
      <c r="G54" s="41">
        <v>42249</v>
      </c>
      <c r="H54" s="41">
        <v>36503</v>
      </c>
      <c r="I54" s="41">
        <v>25194</v>
      </c>
      <c r="J54" s="41">
        <v>23258</v>
      </c>
      <c r="K54" s="20"/>
      <c r="L54" s="20"/>
      <c r="M54" s="41">
        <v>1712304</v>
      </c>
      <c r="N54" s="41">
        <v>1031622</v>
      </c>
      <c r="O54" s="41">
        <v>476691</v>
      </c>
      <c r="P54" s="41">
        <v>371406</v>
      </c>
      <c r="Q54" s="41">
        <v>430279</v>
      </c>
      <c r="R54" s="41">
        <v>461970</v>
      </c>
      <c r="S54" s="20"/>
      <c r="T54" s="20"/>
      <c r="U54" s="41">
        <v>48365614</v>
      </c>
      <c r="V54" s="41">
        <v>21468365</v>
      </c>
      <c r="W54" s="41">
        <v>9484494</v>
      </c>
      <c r="X54" s="41">
        <v>8982241</v>
      </c>
      <c r="Y54" s="41">
        <v>8620372</v>
      </c>
      <c r="Z54" s="41">
        <v>9111259</v>
      </c>
      <c r="AA54" s="20"/>
      <c r="AB54" s="20"/>
      <c r="AC54" s="41">
        <v>639689893</v>
      </c>
      <c r="AD54" s="41">
        <v>247022511</v>
      </c>
      <c r="AE54" s="41">
        <v>123932752</v>
      </c>
      <c r="AF54" s="41">
        <v>122994215</v>
      </c>
      <c r="AG54" s="41">
        <v>143561555</v>
      </c>
      <c r="AH54" s="43">
        <v>147290924</v>
      </c>
      <c r="AI54" s="21"/>
    </row>
    <row r="55" spans="2:35" x14ac:dyDescent="0.3">
      <c r="B55" s="30"/>
      <c r="C55" s="23"/>
      <c r="D55" s="42" t="s">
        <v>24</v>
      </c>
      <c r="E55" s="41">
        <v>113052</v>
      </c>
      <c r="F55" s="41">
        <v>65489</v>
      </c>
      <c r="G55" s="41">
        <v>38755</v>
      </c>
      <c r="H55" s="41">
        <v>32087</v>
      </c>
      <c r="I55" s="41">
        <v>29713</v>
      </c>
      <c r="J55" s="41">
        <v>24577</v>
      </c>
      <c r="K55" s="20"/>
      <c r="L55" s="20"/>
      <c r="M55" s="41">
        <v>1730809</v>
      </c>
      <c r="N55" s="41">
        <v>1047727</v>
      </c>
      <c r="O55" s="41">
        <v>478734</v>
      </c>
      <c r="P55" s="41">
        <v>373756</v>
      </c>
      <c r="Q55" s="41">
        <v>429128</v>
      </c>
      <c r="R55" s="41">
        <v>453526</v>
      </c>
      <c r="S55" s="20"/>
      <c r="T55" s="20"/>
      <c r="U55" s="41">
        <v>46315901</v>
      </c>
      <c r="V55" s="41">
        <v>21384675</v>
      </c>
      <c r="W55" s="41">
        <v>9334916</v>
      </c>
      <c r="X55" s="41">
        <v>9028029</v>
      </c>
      <c r="Y55" s="41">
        <v>8418041</v>
      </c>
      <c r="Z55" s="41">
        <v>9150398</v>
      </c>
      <c r="AA55" s="20"/>
      <c r="AB55" s="20"/>
      <c r="AC55" s="41">
        <v>629088102</v>
      </c>
      <c r="AD55" s="41">
        <v>254197349</v>
      </c>
      <c r="AE55" s="41">
        <v>124710804</v>
      </c>
      <c r="AF55" s="41">
        <v>114320272</v>
      </c>
      <c r="AG55" s="41">
        <v>160711202</v>
      </c>
      <c r="AH55" s="43">
        <v>183174075</v>
      </c>
      <c r="AI55" s="21"/>
    </row>
    <row r="56" spans="2:35" x14ac:dyDescent="0.3">
      <c r="B56" s="30"/>
      <c r="C56" s="23"/>
      <c r="D56" s="42" t="s">
        <v>25</v>
      </c>
      <c r="E56" s="41">
        <v>111710</v>
      </c>
      <c r="F56" s="41">
        <v>58342</v>
      </c>
      <c r="G56" s="41">
        <v>43003</v>
      </c>
      <c r="H56" s="41">
        <v>37267</v>
      </c>
      <c r="I56" s="41">
        <v>24639</v>
      </c>
      <c r="J56" s="41">
        <v>22760</v>
      </c>
      <c r="K56" s="20"/>
      <c r="L56" s="20"/>
      <c r="M56" s="41">
        <v>1715366</v>
      </c>
      <c r="N56" s="41">
        <v>993443</v>
      </c>
      <c r="O56" s="41">
        <v>478077</v>
      </c>
      <c r="P56" s="41">
        <v>364917</v>
      </c>
      <c r="Q56" s="41">
        <v>428316</v>
      </c>
      <c r="R56" s="41">
        <v>460941</v>
      </c>
      <c r="S56" s="20"/>
      <c r="T56" s="20"/>
      <c r="U56" s="41">
        <v>46511017</v>
      </c>
      <c r="V56" s="41">
        <v>21493146</v>
      </c>
      <c r="W56" s="41">
        <v>9552224</v>
      </c>
      <c r="X56" s="41">
        <v>7982026</v>
      </c>
      <c r="Y56" s="41">
        <v>8585476</v>
      </c>
      <c r="Z56" s="41">
        <v>9143583</v>
      </c>
      <c r="AA56" s="20"/>
      <c r="AB56" s="20"/>
      <c r="AC56" s="41">
        <v>570569451</v>
      </c>
      <c r="AD56" s="41">
        <v>248023169</v>
      </c>
      <c r="AE56" s="41">
        <v>122588662</v>
      </c>
      <c r="AF56" s="41">
        <v>117490899</v>
      </c>
      <c r="AG56" s="41">
        <v>134337326</v>
      </c>
      <c r="AH56" s="43">
        <v>178785099</v>
      </c>
      <c r="AI56" s="21"/>
    </row>
    <row r="57" spans="2:35" x14ac:dyDescent="0.3">
      <c r="B57" s="30"/>
      <c r="C57" s="23"/>
      <c r="D57" s="42" t="s">
        <v>26</v>
      </c>
      <c r="E57" s="41">
        <v>113195</v>
      </c>
      <c r="F57" s="41">
        <v>59379</v>
      </c>
      <c r="G57" s="41">
        <v>38717</v>
      </c>
      <c r="H57" s="41">
        <v>29080</v>
      </c>
      <c r="I57" s="41">
        <v>28671</v>
      </c>
      <c r="J57" s="41">
        <v>23164</v>
      </c>
      <c r="K57" s="20"/>
      <c r="L57" s="20"/>
      <c r="M57" s="41">
        <v>1719642</v>
      </c>
      <c r="N57" s="41">
        <v>1030151</v>
      </c>
      <c r="O57" s="41">
        <v>473077</v>
      </c>
      <c r="P57" s="41">
        <v>366151</v>
      </c>
      <c r="Q57" s="41">
        <v>436821</v>
      </c>
      <c r="R57" s="41">
        <v>457804</v>
      </c>
      <c r="S57" s="20"/>
      <c r="T57" s="20"/>
      <c r="U57" s="41">
        <v>46563006</v>
      </c>
      <c r="V57" s="41">
        <v>21960171</v>
      </c>
      <c r="W57" s="41">
        <v>9369236</v>
      </c>
      <c r="X57" s="41">
        <v>8879267</v>
      </c>
      <c r="Y57" s="41">
        <v>8266275</v>
      </c>
      <c r="Z57" s="41">
        <v>9161659</v>
      </c>
      <c r="AA57" s="20"/>
      <c r="AB57" s="20"/>
      <c r="AC57" s="41">
        <v>571332121</v>
      </c>
      <c r="AD57" s="41">
        <v>247897466</v>
      </c>
      <c r="AE57" s="41">
        <v>122136613</v>
      </c>
      <c r="AF57" s="41">
        <v>115489237</v>
      </c>
      <c r="AG57" s="41">
        <v>131248482</v>
      </c>
      <c r="AH57" s="43">
        <v>175294748</v>
      </c>
      <c r="AI57" s="21"/>
    </row>
    <row r="58" spans="2:35" x14ac:dyDescent="0.3">
      <c r="B58" s="30"/>
      <c r="C58" s="23"/>
      <c r="D58" s="42" t="s">
        <v>27</v>
      </c>
      <c r="E58" s="41">
        <v>111357</v>
      </c>
      <c r="F58" s="41">
        <v>59175</v>
      </c>
      <c r="G58" s="41">
        <v>46088</v>
      </c>
      <c r="H58" s="41">
        <v>36015</v>
      </c>
      <c r="I58" s="41">
        <v>26979</v>
      </c>
      <c r="J58" s="41">
        <v>26032</v>
      </c>
      <c r="K58" s="20"/>
      <c r="L58" s="20"/>
      <c r="M58" s="41">
        <v>1743458</v>
      </c>
      <c r="N58" s="41">
        <v>1025593</v>
      </c>
      <c r="O58" s="41">
        <v>472856</v>
      </c>
      <c r="P58" s="41">
        <v>367336</v>
      </c>
      <c r="Q58" s="41">
        <v>432878</v>
      </c>
      <c r="R58" s="41">
        <v>453697</v>
      </c>
      <c r="S58" s="20"/>
      <c r="T58" s="20"/>
      <c r="U58" s="41">
        <v>46101386</v>
      </c>
      <c r="V58" s="41">
        <v>21561509</v>
      </c>
      <c r="W58" s="41">
        <v>9600722</v>
      </c>
      <c r="X58" s="41">
        <v>7943870</v>
      </c>
      <c r="Y58" s="41">
        <v>8665766</v>
      </c>
      <c r="Z58" s="41">
        <v>9106828</v>
      </c>
      <c r="AA58" s="20"/>
      <c r="AB58" s="20"/>
      <c r="AC58" s="41">
        <v>635180345</v>
      </c>
      <c r="AD58" s="41">
        <v>247620583</v>
      </c>
      <c r="AE58" s="41">
        <v>122114559</v>
      </c>
      <c r="AF58" s="41">
        <v>120909288</v>
      </c>
      <c r="AG58" s="41">
        <v>163346041</v>
      </c>
      <c r="AH58" s="43">
        <v>186473704</v>
      </c>
      <c r="AI58" s="21"/>
    </row>
    <row r="59" spans="2:35" x14ac:dyDescent="0.3">
      <c r="B59" s="30"/>
      <c r="C59" s="23"/>
      <c r="D59" s="42" t="s">
        <v>28</v>
      </c>
      <c r="E59" s="41">
        <v>111454</v>
      </c>
      <c r="F59" s="41">
        <v>63379</v>
      </c>
      <c r="G59" s="41">
        <v>36548</v>
      </c>
      <c r="H59" s="41">
        <v>36312</v>
      </c>
      <c r="I59" s="41">
        <v>24133</v>
      </c>
      <c r="J59" s="41">
        <v>24707</v>
      </c>
      <c r="K59" s="20"/>
      <c r="L59" s="20"/>
      <c r="M59" s="41">
        <v>1723248</v>
      </c>
      <c r="N59" s="41">
        <v>1036791</v>
      </c>
      <c r="O59" s="41">
        <v>479556</v>
      </c>
      <c r="P59" s="41">
        <v>374301</v>
      </c>
      <c r="Q59" s="41">
        <v>433677</v>
      </c>
      <c r="R59" s="41">
        <v>457673</v>
      </c>
      <c r="S59" s="20"/>
      <c r="T59" s="20"/>
      <c r="U59" s="41">
        <v>47480009</v>
      </c>
      <c r="V59" s="41">
        <v>21670726</v>
      </c>
      <c r="W59" s="41">
        <v>9268870</v>
      </c>
      <c r="X59" s="41">
        <v>7955550</v>
      </c>
      <c r="Y59" s="41">
        <v>8303009</v>
      </c>
      <c r="Z59" s="41">
        <v>9188085</v>
      </c>
      <c r="AA59" s="20"/>
      <c r="AB59" s="20"/>
      <c r="AC59" s="41">
        <v>631717563</v>
      </c>
      <c r="AD59" s="41">
        <v>249005603</v>
      </c>
      <c r="AE59" s="41">
        <v>123358512</v>
      </c>
      <c r="AF59" s="41">
        <v>121513762</v>
      </c>
      <c r="AG59" s="41">
        <v>145424327</v>
      </c>
      <c r="AH59" s="43">
        <v>174065114</v>
      </c>
      <c r="AI59" s="21"/>
    </row>
    <row r="60" spans="2:35" x14ac:dyDescent="0.3">
      <c r="B60" s="30"/>
      <c r="C60" s="23"/>
      <c r="D60" s="42" t="s">
        <v>29</v>
      </c>
      <c r="E60" s="41">
        <v>116177</v>
      </c>
      <c r="F60" s="41">
        <v>57500</v>
      </c>
      <c r="G60" s="41">
        <v>31640</v>
      </c>
      <c r="H60" s="41">
        <v>41533</v>
      </c>
      <c r="I60" s="41">
        <v>27943</v>
      </c>
      <c r="J60" s="41">
        <v>25441</v>
      </c>
      <c r="K60" s="20"/>
      <c r="L60" s="20"/>
      <c r="M60" s="41">
        <v>1740726</v>
      </c>
      <c r="N60" s="41">
        <v>1007673</v>
      </c>
      <c r="O60" s="41">
        <v>497636</v>
      </c>
      <c r="P60" s="41">
        <v>369670</v>
      </c>
      <c r="Q60" s="41">
        <v>436456</v>
      </c>
      <c r="R60" s="41">
        <v>448202</v>
      </c>
      <c r="S60" s="20"/>
      <c r="T60" s="20"/>
      <c r="U60" s="41">
        <v>46280976</v>
      </c>
      <c r="V60" s="41">
        <v>21903980</v>
      </c>
      <c r="W60" s="41">
        <v>9368832</v>
      </c>
      <c r="X60" s="41">
        <v>8043810</v>
      </c>
      <c r="Y60" s="41">
        <v>8489688</v>
      </c>
      <c r="Z60" s="41">
        <v>9047369</v>
      </c>
      <c r="AA60" s="20"/>
      <c r="AB60" s="20"/>
      <c r="AC60" s="41">
        <v>642117929</v>
      </c>
      <c r="AD60" s="41">
        <v>248313185</v>
      </c>
      <c r="AE60" s="41">
        <v>122441415</v>
      </c>
      <c r="AF60" s="41">
        <v>122854837</v>
      </c>
      <c r="AG60" s="41">
        <v>138911086</v>
      </c>
      <c r="AH60" s="43">
        <v>165803106</v>
      </c>
      <c r="AI60" s="21"/>
    </row>
    <row r="61" spans="2:35" x14ac:dyDescent="0.3">
      <c r="B61" s="30"/>
      <c r="C61" s="23"/>
      <c r="D61" s="42" t="s">
        <v>30</v>
      </c>
      <c r="E61" s="41">
        <v>111328</v>
      </c>
      <c r="F61" s="41">
        <v>57466</v>
      </c>
      <c r="G61" s="41">
        <v>35538</v>
      </c>
      <c r="H61" s="41">
        <v>31691</v>
      </c>
      <c r="I61" s="41">
        <v>28708</v>
      </c>
      <c r="J61" s="41">
        <v>25506</v>
      </c>
      <c r="K61" s="20"/>
      <c r="L61" s="20"/>
      <c r="M61" s="41">
        <v>1704829</v>
      </c>
      <c r="N61" s="41">
        <v>1034279</v>
      </c>
      <c r="O61" s="41">
        <v>473176</v>
      </c>
      <c r="P61" s="41">
        <v>366737</v>
      </c>
      <c r="Q61" s="41">
        <v>421968</v>
      </c>
      <c r="R61" s="41">
        <v>451592</v>
      </c>
      <c r="S61" s="20"/>
      <c r="T61" s="20"/>
      <c r="U61" s="41">
        <v>47064866</v>
      </c>
      <c r="V61" s="41">
        <v>21684353</v>
      </c>
      <c r="W61" s="41">
        <v>9366442</v>
      </c>
      <c r="X61" s="41">
        <v>7985357</v>
      </c>
      <c r="Y61" s="41">
        <v>8468930</v>
      </c>
      <c r="Z61" s="41">
        <v>9177774</v>
      </c>
      <c r="AA61" s="20"/>
      <c r="AB61" s="20"/>
      <c r="AC61" s="41">
        <v>701155379</v>
      </c>
      <c r="AD61" s="41">
        <v>311887960</v>
      </c>
      <c r="AE61" s="41">
        <v>122086219</v>
      </c>
      <c r="AF61" s="41">
        <v>119123215</v>
      </c>
      <c r="AG61" s="41">
        <v>126987430</v>
      </c>
      <c r="AH61" s="43">
        <v>168366466</v>
      </c>
      <c r="AI61" s="21"/>
    </row>
    <row r="62" spans="2:35" x14ac:dyDescent="0.3">
      <c r="B62" s="30"/>
      <c r="C62" s="23"/>
      <c r="D62" s="42" t="s">
        <v>31</v>
      </c>
      <c r="E62" s="41">
        <v>116993</v>
      </c>
      <c r="F62" s="41">
        <v>57632</v>
      </c>
      <c r="G62" s="41">
        <v>43943</v>
      </c>
      <c r="H62" s="41">
        <v>37256</v>
      </c>
      <c r="I62" s="41">
        <v>26759</v>
      </c>
      <c r="J62" s="41">
        <v>27785</v>
      </c>
      <c r="K62" s="20"/>
      <c r="L62" s="20"/>
      <c r="M62" s="41">
        <v>1736681</v>
      </c>
      <c r="N62" s="41">
        <v>1048256</v>
      </c>
      <c r="O62" s="41">
        <v>478334</v>
      </c>
      <c r="P62" s="41">
        <v>372074</v>
      </c>
      <c r="Q62" s="41">
        <v>430569</v>
      </c>
      <c r="R62" s="41">
        <v>461020</v>
      </c>
      <c r="S62" s="20"/>
      <c r="T62" s="20"/>
      <c r="U62" s="41">
        <v>47326357</v>
      </c>
      <c r="V62" s="41">
        <v>22106826</v>
      </c>
      <c r="W62" s="41">
        <v>9294106</v>
      </c>
      <c r="X62" s="41">
        <v>7920284</v>
      </c>
      <c r="Y62" s="41">
        <v>8258204</v>
      </c>
      <c r="Z62" s="41">
        <v>9150720</v>
      </c>
      <c r="AA62" s="20"/>
      <c r="AB62" s="20"/>
      <c r="AC62" s="41">
        <v>570306378</v>
      </c>
      <c r="AD62" s="41">
        <v>247118344</v>
      </c>
      <c r="AE62" s="41">
        <v>121878201</v>
      </c>
      <c r="AF62" s="41">
        <v>114269164</v>
      </c>
      <c r="AG62" s="41">
        <v>160562078</v>
      </c>
      <c r="AH62" s="43">
        <v>182419347</v>
      </c>
      <c r="AI62" s="21"/>
    </row>
    <row r="63" spans="2:35" x14ac:dyDescent="0.3">
      <c r="B63" s="30"/>
      <c r="C63" s="23"/>
      <c r="D63" s="42" t="s">
        <v>32</v>
      </c>
      <c r="E63" s="41">
        <v>115441</v>
      </c>
      <c r="F63" s="41">
        <v>59574</v>
      </c>
      <c r="G63" s="41">
        <v>43052</v>
      </c>
      <c r="H63" s="41">
        <v>33188</v>
      </c>
      <c r="I63" s="41">
        <v>27839</v>
      </c>
      <c r="J63" s="41">
        <v>24389</v>
      </c>
      <c r="K63" s="20"/>
      <c r="L63" s="20"/>
      <c r="M63" s="41">
        <v>1738404</v>
      </c>
      <c r="N63" s="41">
        <v>1008611</v>
      </c>
      <c r="O63" s="41">
        <v>478230</v>
      </c>
      <c r="P63" s="41">
        <v>373655</v>
      </c>
      <c r="Q63" s="41">
        <v>445662</v>
      </c>
      <c r="R63" s="41">
        <v>448100</v>
      </c>
      <c r="S63" s="20"/>
      <c r="T63" s="20"/>
      <c r="U63" s="41">
        <v>45708779</v>
      </c>
      <c r="V63" s="41">
        <v>21805016</v>
      </c>
      <c r="W63" s="41">
        <v>9550341</v>
      </c>
      <c r="X63" s="41">
        <v>8058359</v>
      </c>
      <c r="Y63" s="41">
        <v>8825516</v>
      </c>
      <c r="Z63" s="41">
        <v>9184777</v>
      </c>
      <c r="AA63" s="20"/>
      <c r="AB63" s="20"/>
      <c r="AC63" s="41">
        <v>664748817</v>
      </c>
      <c r="AD63" s="41">
        <v>246933828</v>
      </c>
      <c r="AE63" s="41">
        <v>122102001</v>
      </c>
      <c r="AF63" s="41">
        <v>120816159</v>
      </c>
      <c r="AG63" s="41">
        <v>139873879</v>
      </c>
      <c r="AH63" s="43">
        <v>188874146</v>
      </c>
      <c r="AI63" s="21"/>
    </row>
    <row r="64" spans="2:35" x14ac:dyDescent="0.3">
      <c r="B64" s="30"/>
      <c r="C64" s="23"/>
      <c r="D64" s="42" t="s">
        <v>33</v>
      </c>
      <c r="E64" s="41">
        <v>111995</v>
      </c>
      <c r="F64" s="41">
        <v>58435</v>
      </c>
      <c r="G64" s="41">
        <v>32377</v>
      </c>
      <c r="H64" s="41">
        <v>32185</v>
      </c>
      <c r="I64" s="41">
        <v>28216</v>
      </c>
      <c r="J64" s="41">
        <v>25522</v>
      </c>
      <c r="K64" s="20"/>
      <c r="L64" s="20"/>
      <c r="M64" s="41">
        <v>1725956</v>
      </c>
      <c r="N64" s="41">
        <v>1044392</v>
      </c>
      <c r="O64" s="41">
        <v>485818</v>
      </c>
      <c r="P64" s="41">
        <v>370711</v>
      </c>
      <c r="Q64" s="41">
        <v>443749</v>
      </c>
      <c r="R64" s="41">
        <v>449187</v>
      </c>
      <c r="S64" s="20"/>
      <c r="T64" s="20"/>
      <c r="U64" s="41">
        <v>45804976</v>
      </c>
      <c r="V64" s="41">
        <v>21630823</v>
      </c>
      <c r="W64" s="41">
        <v>9324043</v>
      </c>
      <c r="X64" s="41">
        <v>8039228</v>
      </c>
      <c r="Y64" s="41">
        <v>8352926</v>
      </c>
      <c r="Z64" s="41">
        <v>9184901</v>
      </c>
      <c r="AA64" s="20"/>
      <c r="AB64" s="20"/>
      <c r="AC64" s="41">
        <v>573768243</v>
      </c>
      <c r="AD64" s="41">
        <v>248161585</v>
      </c>
      <c r="AE64" s="41">
        <v>122174742</v>
      </c>
      <c r="AF64" s="41">
        <v>121744676</v>
      </c>
      <c r="AG64" s="41">
        <v>143656529</v>
      </c>
      <c r="AH64" s="43">
        <v>158195856</v>
      </c>
      <c r="AI64" s="21"/>
    </row>
    <row r="65" spans="2:35" x14ac:dyDescent="0.3">
      <c r="B65" s="30"/>
      <c r="C65" s="23"/>
      <c r="D65" s="42" t="s">
        <v>34</v>
      </c>
      <c r="E65" s="41">
        <v>113537</v>
      </c>
      <c r="F65" s="41">
        <v>57690</v>
      </c>
      <c r="G65" s="41">
        <v>41090</v>
      </c>
      <c r="H65" s="41">
        <v>34510</v>
      </c>
      <c r="I65" s="41">
        <v>28094</v>
      </c>
      <c r="J65" s="41">
        <v>25782</v>
      </c>
      <c r="K65" s="20"/>
      <c r="L65" s="20"/>
      <c r="M65" s="41">
        <v>1692820</v>
      </c>
      <c r="N65" s="41">
        <v>1049843</v>
      </c>
      <c r="O65" s="41">
        <v>481234</v>
      </c>
      <c r="P65" s="41">
        <v>368403</v>
      </c>
      <c r="Q65" s="41">
        <v>434440</v>
      </c>
      <c r="R65" s="41">
        <v>463880</v>
      </c>
      <c r="S65" s="20"/>
      <c r="T65" s="20"/>
      <c r="U65" s="41">
        <v>46044846</v>
      </c>
      <c r="V65" s="41">
        <v>22094834</v>
      </c>
      <c r="W65" s="41">
        <v>9321405</v>
      </c>
      <c r="X65" s="41">
        <v>7934077</v>
      </c>
      <c r="Y65" s="41">
        <v>8714878</v>
      </c>
      <c r="Z65" s="41">
        <v>9261737</v>
      </c>
      <c r="AA65" s="20"/>
      <c r="AB65" s="20"/>
      <c r="AC65" s="41">
        <v>657603614</v>
      </c>
      <c r="AD65" s="41">
        <v>248050494</v>
      </c>
      <c r="AE65" s="41">
        <v>122591625</v>
      </c>
      <c r="AF65" s="41">
        <v>116877144</v>
      </c>
      <c r="AG65" s="41">
        <v>142676889</v>
      </c>
      <c r="AH65" s="43">
        <v>156638854</v>
      </c>
      <c r="AI65" s="21"/>
    </row>
    <row r="66" spans="2:35" x14ac:dyDescent="0.3">
      <c r="B66" s="30"/>
      <c r="C66" s="23"/>
      <c r="D66" s="42" t="s">
        <v>35</v>
      </c>
      <c r="E66" s="41">
        <v>113654</v>
      </c>
      <c r="F66" s="41">
        <v>57439</v>
      </c>
      <c r="G66" s="41">
        <v>42093</v>
      </c>
      <c r="H66" s="41">
        <v>33959</v>
      </c>
      <c r="I66" s="41">
        <v>27156</v>
      </c>
      <c r="J66" s="41">
        <v>24829</v>
      </c>
      <c r="K66" s="20"/>
      <c r="L66" s="20"/>
      <c r="M66" s="41">
        <v>1740580</v>
      </c>
      <c r="N66" s="41">
        <v>1067067</v>
      </c>
      <c r="O66" s="41">
        <v>482151</v>
      </c>
      <c r="P66" s="41">
        <v>372006</v>
      </c>
      <c r="Q66" s="41">
        <v>431278</v>
      </c>
      <c r="R66" s="41">
        <v>458005</v>
      </c>
      <c r="S66" s="20"/>
      <c r="T66" s="20"/>
      <c r="U66" s="41">
        <v>48281904</v>
      </c>
      <c r="V66" s="41">
        <v>21581353</v>
      </c>
      <c r="W66" s="41">
        <v>9241404</v>
      </c>
      <c r="X66" s="41">
        <v>7925887</v>
      </c>
      <c r="Y66" s="41">
        <v>8541480</v>
      </c>
      <c r="Z66" s="41">
        <v>9193882</v>
      </c>
      <c r="AA66" s="20"/>
      <c r="AB66" s="20"/>
      <c r="AC66" s="41">
        <v>679827652</v>
      </c>
      <c r="AD66" s="41">
        <v>247073801</v>
      </c>
      <c r="AE66" s="41">
        <v>121091951</v>
      </c>
      <c r="AF66" s="41">
        <v>135072372</v>
      </c>
      <c r="AG66" s="41">
        <v>176879636</v>
      </c>
      <c r="AH66" s="43">
        <v>183792221</v>
      </c>
      <c r="AI66" s="21"/>
    </row>
    <row r="67" spans="2:35" x14ac:dyDescent="0.3">
      <c r="B67" s="30"/>
      <c r="C67" s="23"/>
      <c r="D67" s="42" t="s">
        <v>36</v>
      </c>
      <c r="E67" s="41">
        <v>116346</v>
      </c>
      <c r="F67" s="41">
        <v>57050</v>
      </c>
      <c r="G67" s="41">
        <v>32366</v>
      </c>
      <c r="H67" s="41">
        <v>33248</v>
      </c>
      <c r="I67" s="41">
        <v>28348</v>
      </c>
      <c r="J67" s="41">
        <v>24758</v>
      </c>
      <c r="K67" s="20"/>
      <c r="L67" s="20"/>
      <c r="M67" s="41">
        <v>1745504</v>
      </c>
      <c r="N67" s="41">
        <v>1010060</v>
      </c>
      <c r="O67" s="41">
        <v>486816</v>
      </c>
      <c r="P67" s="41">
        <v>370691</v>
      </c>
      <c r="Q67" s="41">
        <v>428940</v>
      </c>
      <c r="R67" s="41">
        <v>458773</v>
      </c>
      <c r="S67" s="20"/>
      <c r="T67" s="20"/>
      <c r="U67" s="41">
        <v>46402568</v>
      </c>
      <c r="V67" s="41">
        <v>21994117</v>
      </c>
      <c r="W67" s="41">
        <v>9562768</v>
      </c>
      <c r="X67" s="41">
        <v>7919516</v>
      </c>
      <c r="Y67" s="41">
        <v>8557345</v>
      </c>
      <c r="Z67" s="41">
        <v>9089907</v>
      </c>
      <c r="AA67" s="20"/>
      <c r="AB67" s="20"/>
      <c r="AC67" s="41">
        <v>584919939</v>
      </c>
      <c r="AD67" s="41">
        <v>247048137</v>
      </c>
      <c r="AE67" s="41">
        <v>121164911</v>
      </c>
      <c r="AF67" s="41">
        <v>127460348</v>
      </c>
      <c r="AG67" s="41">
        <v>143257289</v>
      </c>
      <c r="AH67" s="43">
        <v>166800521</v>
      </c>
      <c r="AI67" s="21"/>
    </row>
    <row r="68" spans="2:35" x14ac:dyDescent="0.3">
      <c r="B68" s="30"/>
      <c r="C68" s="23"/>
      <c r="D68" s="42" t="s">
        <v>37</v>
      </c>
      <c r="E68" s="41">
        <v>113249</v>
      </c>
      <c r="F68" s="41">
        <v>60464</v>
      </c>
      <c r="G68" s="41">
        <v>34661</v>
      </c>
      <c r="H68" s="41">
        <v>34604</v>
      </c>
      <c r="I68" s="41">
        <v>30407</v>
      </c>
      <c r="J68" s="41">
        <v>22961</v>
      </c>
      <c r="K68" s="20"/>
      <c r="L68" s="20"/>
      <c r="M68" s="41">
        <v>1709654</v>
      </c>
      <c r="N68" s="41">
        <v>1028723</v>
      </c>
      <c r="O68" s="41">
        <v>477526</v>
      </c>
      <c r="P68" s="41">
        <v>372081</v>
      </c>
      <c r="Q68" s="41">
        <v>429858</v>
      </c>
      <c r="R68" s="41">
        <v>453384</v>
      </c>
      <c r="S68" s="20"/>
      <c r="T68" s="20"/>
      <c r="U68" s="41">
        <v>46273461</v>
      </c>
      <c r="V68" s="41">
        <v>21467160</v>
      </c>
      <c r="W68" s="41">
        <v>9308564</v>
      </c>
      <c r="X68" s="41">
        <v>8000882</v>
      </c>
      <c r="Y68" s="41">
        <v>8385587</v>
      </c>
      <c r="Z68" s="41">
        <v>9016904</v>
      </c>
      <c r="AA68" s="20"/>
      <c r="AB68" s="20"/>
      <c r="AC68" s="41">
        <v>657358440</v>
      </c>
      <c r="AD68" s="41">
        <v>246340401</v>
      </c>
      <c r="AE68" s="41">
        <v>122237738</v>
      </c>
      <c r="AF68" s="41">
        <v>122988435</v>
      </c>
      <c r="AG68" s="41">
        <v>163626718</v>
      </c>
      <c r="AH68" s="43">
        <v>189581219</v>
      </c>
      <c r="AI68" s="21"/>
    </row>
    <row r="69" spans="2:35" x14ac:dyDescent="0.3">
      <c r="B69" s="30"/>
      <c r="C69" s="23"/>
      <c r="D69" s="42" t="s">
        <v>38</v>
      </c>
      <c r="E69" s="41">
        <v>112963</v>
      </c>
      <c r="F69" s="41">
        <v>58278</v>
      </c>
      <c r="G69" s="41">
        <v>43635</v>
      </c>
      <c r="H69" s="41">
        <v>36463</v>
      </c>
      <c r="I69" s="41">
        <v>27396</v>
      </c>
      <c r="J69" s="41">
        <v>25160</v>
      </c>
      <c r="K69" s="20"/>
      <c r="L69" s="20"/>
      <c r="M69" s="41">
        <v>1730322</v>
      </c>
      <c r="N69" s="41">
        <v>1044244</v>
      </c>
      <c r="O69" s="41">
        <v>475907</v>
      </c>
      <c r="P69" s="41">
        <v>378942</v>
      </c>
      <c r="Q69" s="41">
        <v>432081</v>
      </c>
      <c r="R69" s="41">
        <v>466822</v>
      </c>
      <c r="S69" s="20"/>
      <c r="T69" s="20"/>
      <c r="U69" s="41">
        <v>48659818</v>
      </c>
      <c r="V69" s="41">
        <v>21735656</v>
      </c>
      <c r="W69" s="41">
        <v>9309448</v>
      </c>
      <c r="X69" s="41">
        <v>7958919</v>
      </c>
      <c r="Y69" s="41">
        <v>8283826</v>
      </c>
      <c r="Z69" s="41">
        <v>9182792</v>
      </c>
      <c r="AA69" s="20"/>
      <c r="AB69" s="20"/>
      <c r="AC69" s="41">
        <v>695160041</v>
      </c>
      <c r="AD69" s="41">
        <v>247143648</v>
      </c>
      <c r="AE69" s="41">
        <v>123278282</v>
      </c>
      <c r="AF69" s="41">
        <v>132821964</v>
      </c>
      <c r="AG69" s="41">
        <v>155683150</v>
      </c>
      <c r="AH69" s="43">
        <v>176525990</v>
      </c>
      <c r="AI69" s="21"/>
    </row>
    <row r="70" spans="2:35" x14ac:dyDescent="0.3">
      <c r="B70" s="30"/>
      <c r="C70" s="23"/>
      <c r="D70" s="42" t="s">
        <v>39</v>
      </c>
      <c r="E70" s="41">
        <v>115324</v>
      </c>
      <c r="F70" s="41">
        <v>58646</v>
      </c>
      <c r="G70" s="41">
        <v>42423</v>
      </c>
      <c r="H70" s="41">
        <v>33171</v>
      </c>
      <c r="I70" s="41">
        <v>27930</v>
      </c>
      <c r="J70" s="41">
        <v>24870</v>
      </c>
      <c r="K70" s="20"/>
      <c r="L70" s="20"/>
      <c r="M70" s="41">
        <v>1732655</v>
      </c>
      <c r="N70" s="41">
        <v>1047244</v>
      </c>
      <c r="O70" s="41">
        <v>477843</v>
      </c>
      <c r="P70" s="41">
        <v>366469</v>
      </c>
      <c r="Q70" s="41">
        <v>424713</v>
      </c>
      <c r="R70" s="41">
        <v>444814</v>
      </c>
      <c r="S70" s="20"/>
      <c r="T70" s="20"/>
      <c r="U70" s="41">
        <v>45975582</v>
      </c>
      <c r="V70" s="41">
        <v>22130083</v>
      </c>
      <c r="W70" s="41">
        <v>9418030</v>
      </c>
      <c r="X70" s="41">
        <v>8035766</v>
      </c>
      <c r="Y70" s="41">
        <v>8851127</v>
      </c>
      <c r="Z70" s="41">
        <v>9179179</v>
      </c>
      <c r="AA70" s="20"/>
      <c r="AB70" s="20"/>
      <c r="AC70" s="41">
        <v>671416749</v>
      </c>
      <c r="AD70" s="41">
        <v>246268147</v>
      </c>
      <c r="AE70" s="41">
        <v>122447294</v>
      </c>
      <c r="AF70" s="41">
        <v>122776592</v>
      </c>
      <c r="AG70" s="41">
        <v>160017167</v>
      </c>
      <c r="AH70" s="43">
        <v>175838231</v>
      </c>
      <c r="AI70" s="21"/>
    </row>
    <row r="71" spans="2:35" ht="15" thickBot="1" x14ac:dyDescent="0.35">
      <c r="B71" s="30"/>
      <c r="C71" s="24"/>
      <c r="D71" s="37" t="s">
        <v>44</v>
      </c>
      <c r="E71" s="25" cm="1">
        <f t="array" ref="E71">ROUND(AVERAGE(IF((ISNUMBER(E41:E70))*(E41:E70&lt;LARGE(E41:E70,2))*(E41:E70&gt;SMALL(E41:E70,2)),E41:E70)),0)</f>
        <v>113661</v>
      </c>
      <c r="F71" s="25" cm="1">
        <f t="array" ref="F71">ROUND(AVERAGE(IF((ISNUMBER(F41:F70))*(F41:F70&lt;LARGE(F41:F70,2))*(F41:F70&gt;SMALL(F41:F70,2)),F41:F70)),0)</f>
        <v>58327</v>
      </c>
      <c r="G71" s="25" cm="1">
        <f t="array" ref="G71">ROUND(AVERAGE(IF((ISNUMBER(G41:G70))*(G41:G70&lt;LARGE(G41:G70,2))*(G41:G70&gt;SMALL(G41:G70,2)),G41:G70)),0)</f>
        <v>39320</v>
      </c>
      <c r="H71" s="25" cm="1">
        <f t="array" ref="H71">ROUND(AVERAGE(IF((ISNUMBER(H41:H70))*(H41:H70&lt;LARGE(H41:H70,2))*(H41:H70&gt;SMALL(H41:H70,2)),H41:H70)),0)</f>
        <v>34029</v>
      </c>
      <c r="I71" s="25" cm="1">
        <f t="array" ref="I71">ROUND(AVERAGE(IF((ISNUMBER(I41:I70))*(I41:I70&lt;LARGE(I41:I70,2))*(I41:I70&gt;SMALL(I41:I70,2)),I41:I70)),0)</f>
        <v>28014</v>
      </c>
      <c r="J71" s="25" cm="1">
        <f t="array" ref="J71">ROUND(AVERAGE(IF((ISNUMBER(J41:J70))*(J41:J70&lt;LARGE(J41:J70,2))*(J41:J70&gt;SMALL(J41:J70,2)),J41:J70)),0)</f>
        <v>24829</v>
      </c>
      <c r="K71" s="25"/>
      <c r="L71" s="25"/>
      <c r="M71" s="25" cm="1">
        <f t="array" ref="M71">ROUND(AVERAGE(IF((ISNUMBER(M41:M70))*(M41:M70&lt;LARGE(M41:M70,2))*(M41:M70&gt;SMALL(M41:M70,2)),M41:M70)),0)</f>
        <v>1725904</v>
      </c>
      <c r="N71" s="25" cm="1">
        <f t="array" ref="N71">ROUND(AVERAGE(IF((ISNUMBER(N41:N70))*(N41:N70&lt;LARGE(N41:N70,2))*(N41:N70&gt;SMALL(N41:N70,2)),N41:N70)),0)</f>
        <v>1031268</v>
      </c>
      <c r="O71" s="25" cm="1">
        <f t="array" ref="O71">ROUND(AVERAGE(IF((ISNUMBER(O41:O70))*(O41:O70&lt;LARGE(O41:O70,2))*(O41:O70&gt;SMALL(O41:O70,2)),O41:O70)),0)</f>
        <v>478448</v>
      </c>
      <c r="P71" s="25" cm="1">
        <f t="array" ref="P71">ROUND(AVERAGE(IF((ISNUMBER(P41:P70))*(P41:P70&lt;LARGE(P41:P70,2))*(P41:P70&gt;SMALL(P41:P70,2)),P41:P70)),0)</f>
        <v>370850</v>
      </c>
      <c r="Q71" s="25" cm="1">
        <f t="array" ref="Q71">ROUND(AVERAGE(IF((ISNUMBER(Q41:Q70))*(Q41:Q70&lt;LARGE(Q41:Q70,2))*(Q41:Q70&gt;SMALL(Q41:Q70,2)),Q41:Q70)),0)</f>
        <v>433295</v>
      </c>
      <c r="R71" s="25" cm="1">
        <f t="array" ref="R71">ROUND(AVERAGE(IF((ISNUMBER(R41:R70))*(R41:R70&lt;LARGE(R41:R70,2))*(R41:R70&gt;SMALL(R41:R70,2)),R41:R70)),0)</f>
        <v>456457</v>
      </c>
      <c r="S71" s="25"/>
      <c r="T71" s="25"/>
      <c r="U71" s="25" cm="1">
        <f t="array" ref="U71">ROUND(AVERAGE(IF((ISNUMBER(U41:U70))*(U41:U70&lt;LARGE(U41:U70,2))*(U41:U70&gt;SMALL(U41:U70,2)),U41:U70)),0)</f>
        <v>46858618</v>
      </c>
      <c r="V71" s="25" cm="1">
        <f t="array" ref="V71">ROUND(AVERAGE(IF((ISNUMBER(V41:V70))*(V41:V70&lt;LARGE(V41:V70,2))*(V41:V70&gt;SMALL(V41:V70,2)),V41:V70)),0)</f>
        <v>21837120</v>
      </c>
      <c r="W71" s="25" cm="1">
        <f t="array" ref="W71">ROUND(AVERAGE(IF((ISNUMBER(W41:W70))*(W41:W70&lt;LARGE(W41:W70,2))*(W41:W70&gt;SMALL(W41:W70,2)),W41:W70)),0)</f>
        <v>9399608</v>
      </c>
      <c r="X71" s="25" cm="1">
        <f t="array" ref="X71">ROUND(AVERAGE(IF((ISNUMBER(X41:X70))*(X41:X70&lt;LARGE(X41:X70,2))*(X41:X70&gt;SMALL(X41:X70,2)),X41:X70)),0)</f>
        <v>8048086</v>
      </c>
      <c r="Y71" s="25" cm="1">
        <f t="array" ref="Y71">ROUND(AVERAGE(IF((ISNUMBER(Y41:Y70))*(Y41:Y70&lt;LARGE(Y41:Y70,2))*(Y41:Y70&gt;SMALL(Y41:Y70,2)),Y41:Y70)),0)</f>
        <v>8467335</v>
      </c>
      <c r="Z71" s="25" cm="1">
        <f t="array" ref="Z71">ROUND(AVERAGE(IF((ISNUMBER(Z41:Z70))*(Z41:Z70&lt;LARGE(Z41:Z70,2))*(Z41:Z70&gt;SMALL(Z41:Z70,2)),Z41:Z70)),0)</f>
        <v>9154211</v>
      </c>
      <c r="AA71" s="25"/>
      <c r="AB71" s="25"/>
      <c r="AC71" s="25" cm="1">
        <f t="array" ref="AC71">ROUND(AVERAGE(IF((ISNUMBER(AC41:AC70))*(AC41:AC70&lt;LARGE(AC41:AC70,2))*(AC41:AC70&gt;SMALL(AC41:AC70,2)),AC41:AC70)),0)</f>
        <v>623213445</v>
      </c>
      <c r="AD71" s="25" cm="1">
        <f t="array" ref="AD71">ROUND(AVERAGE(IF((ISNUMBER(AD41:AD70))*(AD41:AD70&lt;LARGE(AD41:AD70,2))*(AD41:AD70&gt;SMALL(AD41:AD70,2)),AD41:AD70)),0)</f>
        <v>247730554</v>
      </c>
      <c r="AE71" s="25" cm="1">
        <f t="array" ref="AE71">ROUND(AVERAGE(IF((ISNUMBER(AE41:AE70))*(AE41:AE70&lt;LARGE(AE41:AE70,2))*(AE41:AE70&gt;SMALL(AE41:AE70,2)),AE41:AE70)),0)</f>
        <v>124649883</v>
      </c>
      <c r="AF71" s="25" cm="1">
        <f t="array" ref="AF71">ROUND(AVERAGE(IF((ISNUMBER(AF41:AF70))*(AF41:AF70&lt;LARGE(AF41:AF70,2))*(AF41:AF70&gt;SMALL(AF41:AF70,2)),AF41:AF70)),0)</f>
        <v>119894108</v>
      </c>
      <c r="AG71" s="25" cm="1">
        <f t="array" ref="AG71">ROUND(AVERAGE(IF((ISNUMBER(AG41:AG70))*(AG41:AG70&lt;LARGE(AG41:AG70,2))*(AG41:AG70&gt;SMALL(AG41:AG70,2)),AG41:AG70)),0)</f>
        <v>145012488</v>
      </c>
      <c r="AH71" s="26" cm="1">
        <f t="array" ref="AH71">ROUND(AVERAGE(IF((ISNUMBER(AH41:AH70))*(AH41:AH70&lt;LARGE(AH41:AH70,2))*(AH41:AH70&gt;SMALL(AH41:AH70,2)),AH41:AH70)),0)</f>
        <v>180476646</v>
      </c>
      <c r="AI71" s="21"/>
    </row>
    <row r="72" spans="2:35" ht="15" thickBot="1" x14ac:dyDescent="0.35">
      <c r="B72" s="31"/>
      <c r="C72" s="28"/>
      <c r="D72" s="3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9"/>
    </row>
    <row r="73" spans="2:35" ht="15" thickBot="1" x14ac:dyDescent="0.35">
      <c r="B73" s="32"/>
      <c r="D73" s="1"/>
    </row>
    <row r="74" spans="2:35" ht="36.6" x14ac:dyDescent="0.7">
      <c r="B74" s="33" t="s">
        <v>42</v>
      </c>
      <c r="C74" s="15"/>
      <c r="D74" s="3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7"/>
    </row>
    <row r="75" spans="2:35" ht="15" thickBot="1" x14ac:dyDescent="0.35">
      <c r="B75" s="34"/>
      <c r="C75" s="19"/>
      <c r="D75" s="4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1"/>
    </row>
    <row r="76" spans="2:35" x14ac:dyDescent="0.3">
      <c r="B76" s="30"/>
      <c r="C76" s="44" t="s">
        <v>0</v>
      </c>
      <c r="D76" s="35"/>
      <c r="E76" s="35" t="s">
        <v>1</v>
      </c>
      <c r="F76" s="35" t="s">
        <v>2</v>
      </c>
      <c r="G76" s="35" t="s">
        <v>3</v>
      </c>
      <c r="H76" s="35" t="s">
        <v>4</v>
      </c>
      <c r="I76" s="35" t="s">
        <v>5</v>
      </c>
      <c r="J76" s="35" t="s">
        <v>6</v>
      </c>
      <c r="K76" s="46" t="s">
        <v>7</v>
      </c>
      <c r="L76" s="46"/>
      <c r="M76" s="35" t="s">
        <v>1</v>
      </c>
      <c r="N76" s="35" t="s">
        <v>2</v>
      </c>
      <c r="O76" s="35" t="s">
        <v>3</v>
      </c>
      <c r="P76" s="35" t="s">
        <v>4</v>
      </c>
      <c r="Q76" s="35" t="s">
        <v>5</v>
      </c>
      <c r="R76" s="35" t="s">
        <v>6</v>
      </c>
      <c r="S76" s="46" t="s">
        <v>8</v>
      </c>
      <c r="T76" s="46"/>
      <c r="U76" s="35" t="s">
        <v>1</v>
      </c>
      <c r="V76" s="35" t="s">
        <v>2</v>
      </c>
      <c r="W76" s="35" t="s">
        <v>3</v>
      </c>
      <c r="X76" s="35" t="s">
        <v>4</v>
      </c>
      <c r="Y76" s="35" t="s">
        <v>5</v>
      </c>
      <c r="Z76" s="35" t="s">
        <v>6</v>
      </c>
      <c r="AA76" s="46" t="s">
        <v>9</v>
      </c>
      <c r="AB76" s="46"/>
      <c r="AC76" s="35" t="s">
        <v>1</v>
      </c>
      <c r="AD76" s="35" t="s">
        <v>2</v>
      </c>
      <c r="AE76" s="35" t="s">
        <v>3</v>
      </c>
      <c r="AF76" s="35" t="s">
        <v>4</v>
      </c>
      <c r="AG76" s="35" t="s">
        <v>5</v>
      </c>
      <c r="AH76" s="36" t="s">
        <v>6</v>
      </c>
      <c r="AI76" s="21"/>
    </row>
    <row r="77" spans="2:35" x14ac:dyDescent="0.3">
      <c r="B77" s="30"/>
      <c r="C77" s="23"/>
      <c r="D77" s="42" t="s">
        <v>10</v>
      </c>
      <c r="E77" s="41">
        <v>399553</v>
      </c>
      <c r="F77" s="41">
        <v>205557</v>
      </c>
      <c r="G77" s="41">
        <v>115083</v>
      </c>
      <c r="H77" s="41">
        <v>84235</v>
      </c>
      <c r="I77" s="41">
        <v>67172</v>
      </c>
      <c r="J77" s="41">
        <v>61646</v>
      </c>
      <c r="K77" s="20"/>
      <c r="L77" s="20"/>
      <c r="M77" s="41">
        <v>4237026</v>
      </c>
      <c r="N77" s="41">
        <v>2308966</v>
      </c>
      <c r="O77" s="41">
        <v>1217069</v>
      </c>
      <c r="P77" s="41">
        <v>789917</v>
      </c>
      <c r="Q77" s="41">
        <v>569965</v>
      </c>
      <c r="R77" s="41">
        <v>576475</v>
      </c>
      <c r="S77" s="20"/>
      <c r="T77" s="20"/>
      <c r="U77" s="41">
        <v>49815853</v>
      </c>
      <c r="V77" s="41">
        <v>22914744</v>
      </c>
      <c r="W77" s="41">
        <v>10691726</v>
      </c>
      <c r="X77" s="41">
        <v>9062915</v>
      </c>
      <c r="Y77" s="41">
        <v>7303540</v>
      </c>
      <c r="Z77" s="41">
        <v>7867647</v>
      </c>
      <c r="AA77" s="20"/>
      <c r="AB77" s="20"/>
      <c r="AC77" s="41">
        <v>646473929</v>
      </c>
      <c r="AD77" s="41">
        <v>233703698</v>
      </c>
      <c r="AE77" s="41">
        <v>149634225</v>
      </c>
      <c r="AF77" s="41">
        <v>129276421</v>
      </c>
      <c r="AG77" s="41">
        <v>127949403</v>
      </c>
      <c r="AH77" s="43">
        <v>299539647</v>
      </c>
      <c r="AI77" s="21"/>
    </row>
    <row r="78" spans="2:35" x14ac:dyDescent="0.3">
      <c r="B78" s="30"/>
      <c r="C78" s="23"/>
      <c r="D78" s="42" t="s">
        <v>11</v>
      </c>
      <c r="E78" s="41">
        <v>400855</v>
      </c>
      <c r="F78" s="41">
        <v>203910</v>
      </c>
      <c r="G78" s="41">
        <v>117322</v>
      </c>
      <c r="H78" s="41">
        <v>91599</v>
      </c>
      <c r="I78" s="41">
        <v>65501</v>
      </c>
      <c r="J78" s="41">
        <v>63377</v>
      </c>
      <c r="K78" s="20"/>
      <c r="L78" s="20"/>
      <c r="M78" s="41">
        <v>4250090</v>
      </c>
      <c r="N78" s="41">
        <v>2307769</v>
      </c>
      <c r="O78" s="41">
        <v>1218370</v>
      </c>
      <c r="P78" s="41">
        <v>795293</v>
      </c>
      <c r="Q78" s="41">
        <v>566050</v>
      </c>
      <c r="R78" s="41">
        <v>593087</v>
      </c>
      <c r="S78" s="20"/>
      <c r="T78" s="20"/>
      <c r="U78" s="41">
        <v>49878030</v>
      </c>
      <c r="V78" s="41">
        <v>22822353</v>
      </c>
      <c r="W78" s="41">
        <v>10697384</v>
      </c>
      <c r="X78" s="41">
        <v>8969645</v>
      </c>
      <c r="Y78" s="41">
        <v>7377404</v>
      </c>
      <c r="Z78" s="41">
        <v>7816552</v>
      </c>
      <c r="AA78" s="20"/>
      <c r="AB78" s="20"/>
      <c r="AC78" s="41">
        <v>821756816</v>
      </c>
      <c r="AD78" s="41">
        <v>232424871</v>
      </c>
      <c r="AE78" s="41">
        <v>159672434</v>
      </c>
      <c r="AF78" s="41">
        <v>142117406</v>
      </c>
      <c r="AG78" s="41">
        <v>158264331</v>
      </c>
      <c r="AH78" s="43">
        <v>304446701</v>
      </c>
      <c r="AI78" s="21"/>
    </row>
    <row r="79" spans="2:35" x14ac:dyDescent="0.3">
      <c r="B79" s="30"/>
      <c r="C79" s="23"/>
      <c r="D79" s="42" t="s">
        <v>12</v>
      </c>
      <c r="E79" s="41">
        <v>400323</v>
      </c>
      <c r="F79" s="41">
        <v>204497</v>
      </c>
      <c r="G79" s="41">
        <v>110258</v>
      </c>
      <c r="H79" s="41">
        <v>94666</v>
      </c>
      <c r="I79" s="41">
        <v>67221</v>
      </c>
      <c r="J79" s="41">
        <v>62065</v>
      </c>
      <c r="K79" s="20"/>
      <c r="L79" s="20"/>
      <c r="M79" s="41">
        <v>4237120</v>
      </c>
      <c r="N79" s="41">
        <v>2323695</v>
      </c>
      <c r="O79" s="41">
        <v>1223869</v>
      </c>
      <c r="P79" s="41">
        <v>796795</v>
      </c>
      <c r="Q79" s="41">
        <v>565619</v>
      </c>
      <c r="R79" s="41">
        <v>577107</v>
      </c>
      <c r="S79" s="20"/>
      <c r="T79" s="20"/>
      <c r="U79" s="41">
        <v>49629768</v>
      </c>
      <c r="V79" s="41">
        <v>23150664</v>
      </c>
      <c r="W79" s="41">
        <v>10648138</v>
      </c>
      <c r="X79" s="41">
        <v>9059887</v>
      </c>
      <c r="Y79" s="41">
        <v>7314157</v>
      </c>
      <c r="Z79" s="41">
        <v>8032157</v>
      </c>
      <c r="AA79" s="20"/>
      <c r="AB79" s="20"/>
      <c r="AC79" s="41">
        <v>649364622</v>
      </c>
      <c r="AD79" s="41">
        <v>231218305</v>
      </c>
      <c r="AE79" s="41">
        <v>140757020</v>
      </c>
      <c r="AF79" s="41">
        <v>137856059</v>
      </c>
      <c r="AG79" s="41">
        <v>148019956</v>
      </c>
      <c r="AH79" s="43">
        <v>300935736</v>
      </c>
      <c r="AI79" s="21"/>
    </row>
    <row r="80" spans="2:35" x14ac:dyDescent="0.3">
      <c r="B80" s="30"/>
      <c r="C80" s="23"/>
      <c r="D80" s="42" t="s">
        <v>13</v>
      </c>
      <c r="E80" s="41">
        <v>403249</v>
      </c>
      <c r="F80" s="41">
        <v>202894</v>
      </c>
      <c r="G80" s="41">
        <v>109350</v>
      </c>
      <c r="H80" s="41">
        <v>84413</v>
      </c>
      <c r="I80" s="41">
        <v>68424</v>
      </c>
      <c r="J80" s="41">
        <v>63021</v>
      </c>
      <c r="K80" s="20"/>
      <c r="L80" s="20"/>
      <c r="M80" s="41">
        <v>4238280</v>
      </c>
      <c r="N80" s="41">
        <v>2257566</v>
      </c>
      <c r="O80" s="41">
        <v>1218903</v>
      </c>
      <c r="P80" s="41">
        <v>798114</v>
      </c>
      <c r="Q80" s="41">
        <v>565221</v>
      </c>
      <c r="R80" s="41">
        <v>595873</v>
      </c>
      <c r="S80" s="20"/>
      <c r="T80" s="20"/>
      <c r="U80" s="41">
        <v>49337895</v>
      </c>
      <c r="V80" s="41">
        <v>22856650</v>
      </c>
      <c r="W80" s="41">
        <v>10693642</v>
      </c>
      <c r="X80" s="41">
        <v>9204347</v>
      </c>
      <c r="Y80" s="41">
        <v>7304034</v>
      </c>
      <c r="Z80" s="41">
        <v>8007026</v>
      </c>
      <c r="AA80" s="20"/>
      <c r="AB80" s="20"/>
      <c r="AC80" s="41">
        <v>795891143</v>
      </c>
      <c r="AD80" s="41">
        <v>230154447</v>
      </c>
      <c r="AE80" s="41">
        <v>146638537</v>
      </c>
      <c r="AF80" s="41">
        <v>135352406</v>
      </c>
      <c r="AG80" s="41">
        <v>152606999</v>
      </c>
      <c r="AH80" s="43">
        <v>297795287</v>
      </c>
      <c r="AI80" s="21"/>
    </row>
    <row r="81" spans="2:35" x14ac:dyDescent="0.3">
      <c r="B81" s="30"/>
      <c r="C81" s="23"/>
      <c r="D81" s="42" t="s">
        <v>14</v>
      </c>
      <c r="E81" s="41">
        <v>402236</v>
      </c>
      <c r="F81" s="41">
        <v>202650</v>
      </c>
      <c r="G81" s="41">
        <v>115360</v>
      </c>
      <c r="H81" s="41">
        <v>90049</v>
      </c>
      <c r="I81" s="41">
        <v>66653</v>
      </c>
      <c r="J81" s="41">
        <v>62522</v>
      </c>
      <c r="K81" s="20"/>
      <c r="L81" s="20"/>
      <c r="M81" s="41">
        <v>4250095</v>
      </c>
      <c r="N81" s="41">
        <v>2319896</v>
      </c>
      <c r="O81" s="41">
        <v>1217627</v>
      </c>
      <c r="P81" s="41">
        <v>790603</v>
      </c>
      <c r="Q81" s="41">
        <v>567047</v>
      </c>
      <c r="R81" s="41">
        <v>572533</v>
      </c>
      <c r="S81" s="20"/>
      <c r="T81" s="20"/>
      <c r="U81" s="41">
        <v>49664501</v>
      </c>
      <c r="V81" s="41">
        <v>22654973</v>
      </c>
      <c r="W81" s="41">
        <v>10687639</v>
      </c>
      <c r="X81" s="41">
        <v>8947863</v>
      </c>
      <c r="Y81" s="41">
        <v>7305180</v>
      </c>
      <c r="Z81" s="41">
        <v>7921651</v>
      </c>
      <c r="AA81" s="20"/>
      <c r="AB81" s="20"/>
      <c r="AC81" s="41">
        <v>804268381</v>
      </c>
      <c r="AD81" s="41">
        <v>236380959</v>
      </c>
      <c r="AE81" s="41">
        <v>190855304</v>
      </c>
      <c r="AF81" s="41">
        <v>124844884</v>
      </c>
      <c r="AG81" s="41">
        <v>154499656</v>
      </c>
      <c r="AH81" s="43">
        <v>290315612</v>
      </c>
      <c r="AI81" s="21"/>
    </row>
    <row r="82" spans="2:35" x14ac:dyDescent="0.3">
      <c r="B82" s="30"/>
      <c r="C82" s="23"/>
      <c r="D82" s="42" t="s">
        <v>15</v>
      </c>
      <c r="E82" s="41">
        <v>405568</v>
      </c>
      <c r="F82" s="41">
        <v>203978</v>
      </c>
      <c r="G82" s="41">
        <v>110855</v>
      </c>
      <c r="H82" s="41">
        <v>89650</v>
      </c>
      <c r="I82" s="41">
        <v>64959</v>
      </c>
      <c r="J82" s="41">
        <v>62873</v>
      </c>
      <c r="K82" s="20"/>
      <c r="L82" s="20"/>
      <c r="M82" s="41">
        <v>4239861</v>
      </c>
      <c r="N82" s="41">
        <v>2310960</v>
      </c>
      <c r="O82" s="41">
        <v>1207350</v>
      </c>
      <c r="P82" s="41">
        <v>787443</v>
      </c>
      <c r="Q82" s="41">
        <v>565020</v>
      </c>
      <c r="R82" s="41">
        <v>583397</v>
      </c>
      <c r="S82" s="20"/>
      <c r="T82" s="20"/>
      <c r="U82" s="41">
        <v>49689554</v>
      </c>
      <c r="V82" s="41">
        <v>22942339</v>
      </c>
      <c r="W82" s="41">
        <v>10742387</v>
      </c>
      <c r="X82" s="41">
        <v>8984840</v>
      </c>
      <c r="Y82" s="41">
        <v>7307499</v>
      </c>
      <c r="Z82" s="41">
        <v>8397846</v>
      </c>
      <c r="AA82" s="20"/>
      <c r="AB82" s="20"/>
      <c r="AC82" s="41">
        <v>812271076</v>
      </c>
      <c r="AD82" s="41">
        <v>232268883</v>
      </c>
      <c r="AE82" s="41">
        <v>135423757</v>
      </c>
      <c r="AF82" s="41">
        <v>145096417</v>
      </c>
      <c r="AG82" s="41">
        <v>145981090</v>
      </c>
      <c r="AH82" s="43">
        <v>290058897</v>
      </c>
      <c r="AI82" s="21"/>
    </row>
    <row r="83" spans="2:35" x14ac:dyDescent="0.3">
      <c r="B83" s="30"/>
      <c r="C83" s="23"/>
      <c r="D83" s="42" t="s">
        <v>16</v>
      </c>
      <c r="E83" s="41">
        <v>406057</v>
      </c>
      <c r="F83" s="41">
        <v>204506</v>
      </c>
      <c r="G83" s="41">
        <v>114527</v>
      </c>
      <c r="H83" s="41">
        <v>90343</v>
      </c>
      <c r="I83" s="41">
        <v>66339</v>
      </c>
      <c r="J83" s="41">
        <v>63187</v>
      </c>
      <c r="K83" s="20"/>
      <c r="L83" s="20"/>
      <c r="M83" s="41">
        <v>4239615</v>
      </c>
      <c r="N83" s="41">
        <v>2309387</v>
      </c>
      <c r="O83" s="41">
        <v>1189591</v>
      </c>
      <c r="P83" s="41">
        <v>792182</v>
      </c>
      <c r="Q83" s="41">
        <v>569491</v>
      </c>
      <c r="R83" s="41">
        <v>575823</v>
      </c>
      <c r="S83" s="20"/>
      <c r="T83" s="20"/>
      <c r="U83" s="41">
        <v>49654933</v>
      </c>
      <c r="V83" s="41">
        <v>22875095</v>
      </c>
      <c r="W83" s="41">
        <v>10832073</v>
      </c>
      <c r="X83" s="41">
        <v>8835128</v>
      </c>
      <c r="Y83" s="41">
        <v>7430533</v>
      </c>
      <c r="Z83" s="41">
        <v>7828410</v>
      </c>
      <c r="AA83" s="20"/>
      <c r="AB83" s="20"/>
      <c r="AC83" s="41">
        <v>659560836</v>
      </c>
      <c r="AD83" s="41">
        <v>234611696</v>
      </c>
      <c r="AE83" s="41">
        <v>130441647</v>
      </c>
      <c r="AF83" s="41">
        <v>146456242</v>
      </c>
      <c r="AG83" s="41">
        <v>156422846</v>
      </c>
      <c r="AH83" s="43">
        <v>231046224</v>
      </c>
      <c r="AI83" s="21"/>
    </row>
    <row r="84" spans="2:35" x14ac:dyDescent="0.3">
      <c r="B84" s="30"/>
      <c r="C84" s="23"/>
      <c r="D84" s="42" t="s">
        <v>17</v>
      </c>
      <c r="E84" s="41">
        <v>397879</v>
      </c>
      <c r="F84" s="41">
        <v>205381</v>
      </c>
      <c r="G84" s="41">
        <v>116929</v>
      </c>
      <c r="H84" s="41">
        <v>85030</v>
      </c>
      <c r="I84" s="41">
        <v>66877</v>
      </c>
      <c r="J84" s="41">
        <v>63270</v>
      </c>
      <c r="K84" s="20"/>
      <c r="L84" s="20"/>
      <c r="M84" s="41">
        <v>4241139</v>
      </c>
      <c r="N84" s="41">
        <v>2127063</v>
      </c>
      <c r="O84" s="41">
        <v>1219181</v>
      </c>
      <c r="P84" s="41">
        <v>788049</v>
      </c>
      <c r="Q84" s="41">
        <v>562727</v>
      </c>
      <c r="R84" s="41">
        <v>580195</v>
      </c>
      <c r="S84" s="20"/>
      <c r="T84" s="20"/>
      <c r="U84" s="41">
        <v>49694529</v>
      </c>
      <c r="V84" s="41">
        <v>22893948</v>
      </c>
      <c r="W84" s="41">
        <v>10664965</v>
      </c>
      <c r="X84" s="41">
        <v>8902888</v>
      </c>
      <c r="Y84" s="41">
        <v>7341690</v>
      </c>
      <c r="Z84" s="41">
        <v>7971115</v>
      </c>
      <c r="AA84" s="20"/>
      <c r="AB84" s="20"/>
      <c r="AC84" s="41">
        <v>790045802</v>
      </c>
      <c r="AD84" s="41">
        <v>234072474</v>
      </c>
      <c r="AE84" s="41">
        <v>140478515</v>
      </c>
      <c r="AF84" s="41">
        <v>150445953</v>
      </c>
      <c r="AG84" s="41">
        <v>160762126</v>
      </c>
      <c r="AH84" s="43">
        <v>249833665</v>
      </c>
      <c r="AI84" s="21"/>
    </row>
    <row r="85" spans="2:35" x14ac:dyDescent="0.3">
      <c r="B85" s="30"/>
      <c r="C85" s="23"/>
      <c r="D85" s="42" t="s">
        <v>18</v>
      </c>
      <c r="E85" s="41">
        <v>402495</v>
      </c>
      <c r="F85" s="41">
        <v>204083</v>
      </c>
      <c r="G85" s="41">
        <v>111725</v>
      </c>
      <c r="H85" s="41">
        <v>88363</v>
      </c>
      <c r="I85" s="41">
        <v>65352</v>
      </c>
      <c r="J85" s="41">
        <v>62061</v>
      </c>
      <c r="K85" s="20"/>
      <c r="L85" s="20"/>
      <c r="M85" s="41">
        <v>4246639</v>
      </c>
      <c r="N85" s="41">
        <v>2273187</v>
      </c>
      <c r="O85" s="41">
        <v>1226634</v>
      </c>
      <c r="P85" s="41">
        <v>783889</v>
      </c>
      <c r="Q85" s="41">
        <v>567621</v>
      </c>
      <c r="R85" s="41">
        <v>582707</v>
      </c>
      <c r="S85" s="20"/>
      <c r="T85" s="20"/>
      <c r="U85" s="41">
        <v>49704394</v>
      </c>
      <c r="V85" s="41">
        <v>23118894</v>
      </c>
      <c r="W85" s="41">
        <v>10655487</v>
      </c>
      <c r="X85" s="41">
        <v>8882772</v>
      </c>
      <c r="Y85" s="41">
        <v>7252973</v>
      </c>
      <c r="Z85" s="41">
        <v>8440196</v>
      </c>
      <c r="AA85" s="20"/>
      <c r="AB85" s="20"/>
      <c r="AC85" s="41">
        <v>622653239</v>
      </c>
      <c r="AD85" s="41">
        <v>233454472</v>
      </c>
      <c r="AE85" s="41">
        <v>130669444</v>
      </c>
      <c r="AF85" s="41">
        <v>138186301</v>
      </c>
      <c r="AG85" s="41">
        <v>158203698</v>
      </c>
      <c r="AH85" s="43">
        <v>256107459</v>
      </c>
      <c r="AI85" s="21"/>
    </row>
    <row r="86" spans="2:35" x14ac:dyDescent="0.3">
      <c r="B86" s="30"/>
      <c r="C86" s="23"/>
      <c r="D86" s="42" t="s">
        <v>19</v>
      </c>
      <c r="E86" s="41">
        <v>401496</v>
      </c>
      <c r="F86" s="41">
        <v>210065</v>
      </c>
      <c r="G86" s="41">
        <v>119340</v>
      </c>
      <c r="H86" s="41">
        <v>88014</v>
      </c>
      <c r="I86" s="41">
        <v>68344</v>
      </c>
      <c r="J86" s="41">
        <v>62932</v>
      </c>
      <c r="K86" s="20"/>
      <c r="L86" s="20"/>
      <c r="M86" s="41">
        <v>4243796</v>
      </c>
      <c r="N86" s="41">
        <v>2307577</v>
      </c>
      <c r="O86" s="41">
        <v>1219847</v>
      </c>
      <c r="P86" s="41">
        <v>789875</v>
      </c>
      <c r="Q86" s="41">
        <v>566289</v>
      </c>
      <c r="R86" s="41">
        <v>581993</v>
      </c>
      <c r="S86" s="20"/>
      <c r="T86" s="20"/>
      <c r="U86" s="41">
        <v>49181510</v>
      </c>
      <c r="V86" s="41">
        <v>22875978</v>
      </c>
      <c r="W86" s="41">
        <v>10586141</v>
      </c>
      <c r="X86" s="41">
        <v>9146118</v>
      </c>
      <c r="Y86" s="41">
        <v>7306508</v>
      </c>
      <c r="Z86" s="41">
        <v>7984536</v>
      </c>
      <c r="AA86" s="20"/>
      <c r="AB86" s="20"/>
      <c r="AC86" s="41">
        <v>789131127</v>
      </c>
      <c r="AD86" s="41">
        <v>273572218</v>
      </c>
      <c r="AE86" s="41">
        <v>139251539</v>
      </c>
      <c r="AF86" s="41">
        <v>139244717</v>
      </c>
      <c r="AG86" s="41">
        <v>159773114</v>
      </c>
      <c r="AH86" s="43">
        <v>243764072</v>
      </c>
      <c r="AI86" s="21"/>
    </row>
    <row r="87" spans="2:35" x14ac:dyDescent="0.3">
      <c r="B87" s="30"/>
      <c r="C87" s="23"/>
      <c r="D87" s="42" t="s">
        <v>20</v>
      </c>
      <c r="E87" s="41">
        <v>398261</v>
      </c>
      <c r="F87" s="41">
        <v>204360</v>
      </c>
      <c r="G87" s="41">
        <v>112972</v>
      </c>
      <c r="H87" s="41">
        <v>90032</v>
      </c>
      <c r="I87" s="41">
        <v>66782</v>
      </c>
      <c r="J87" s="41">
        <v>63087</v>
      </c>
      <c r="K87" s="20"/>
      <c r="L87" s="20"/>
      <c r="M87" s="41">
        <v>4235047</v>
      </c>
      <c r="N87" s="41">
        <v>2199859</v>
      </c>
      <c r="O87" s="41">
        <v>1212872</v>
      </c>
      <c r="P87" s="41">
        <v>797307</v>
      </c>
      <c r="Q87" s="41">
        <v>568338</v>
      </c>
      <c r="R87" s="41">
        <v>586599</v>
      </c>
      <c r="S87" s="20"/>
      <c r="T87" s="20"/>
      <c r="U87" s="41">
        <v>49438437</v>
      </c>
      <c r="V87" s="41">
        <v>22696380</v>
      </c>
      <c r="W87" s="41">
        <v>10609184</v>
      </c>
      <c r="X87" s="41">
        <v>8922902</v>
      </c>
      <c r="Y87" s="41">
        <v>7334627</v>
      </c>
      <c r="Z87" s="41">
        <v>7890391</v>
      </c>
      <c r="AA87" s="20"/>
      <c r="AB87" s="20"/>
      <c r="AC87" s="41">
        <v>640241709</v>
      </c>
      <c r="AD87" s="41">
        <v>234704546</v>
      </c>
      <c r="AE87" s="41">
        <v>144417645</v>
      </c>
      <c r="AF87" s="41">
        <v>150269872</v>
      </c>
      <c r="AG87" s="41">
        <v>205176362</v>
      </c>
      <c r="AH87" s="43">
        <v>239884220</v>
      </c>
      <c r="AI87" s="21"/>
    </row>
    <row r="88" spans="2:35" x14ac:dyDescent="0.3">
      <c r="B88" s="30"/>
      <c r="C88" s="23"/>
      <c r="D88" s="42" t="s">
        <v>21</v>
      </c>
      <c r="E88" s="41">
        <v>401967</v>
      </c>
      <c r="F88" s="41">
        <v>209432</v>
      </c>
      <c r="G88" s="41">
        <v>116339</v>
      </c>
      <c r="H88" s="41">
        <v>84719</v>
      </c>
      <c r="I88" s="41">
        <v>66656</v>
      </c>
      <c r="J88" s="41">
        <v>63339</v>
      </c>
      <c r="K88" s="20"/>
      <c r="L88" s="20"/>
      <c r="M88" s="41">
        <v>4246665</v>
      </c>
      <c r="N88" s="41">
        <v>2307684</v>
      </c>
      <c r="O88" s="41">
        <v>1219799</v>
      </c>
      <c r="P88" s="41">
        <v>796962</v>
      </c>
      <c r="Q88" s="41">
        <v>565736</v>
      </c>
      <c r="R88" s="41">
        <v>575769</v>
      </c>
      <c r="S88" s="20"/>
      <c r="T88" s="20"/>
      <c r="U88" s="41">
        <v>49136917</v>
      </c>
      <c r="V88" s="41">
        <v>23176643</v>
      </c>
      <c r="W88" s="41">
        <v>10619191</v>
      </c>
      <c r="X88" s="41">
        <v>8861949</v>
      </c>
      <c r="Y88" s="41">
        <v>7319759</v>
      </c>
      <c r="Z88" s="41">
        <v>7941657</v>
      </c>
      <c r="AA88" s="20"/>
      <c r="AB88" s="20"/>
      <c r="AC88" s="41">
        <v>638122219</v>
      </c>
      <c r="AD88" s="41">
        <v>237941244</v>
      </c>
      <c r="AE88" s="41">
        <v>121262130</v>
      </c>
      <c r="AF88" s="41">
        <v>146659981</v>
      </c>
      <c r="AG88" s="41">
        <v>201560640</v>
      </c>
      <c r="AH88" s="43">
        <v>240897037</v>
      </c>
      <c r="AI88" s="21"/>
    </row>
    <row r="89" spans="2:35" x14ac:dyDescent="0.3">
      <c r="B89" s="30"/>
      <c r="C89" s="23"/>
      <c r="D89" s="42" t="s">
        <v>22</v>
      </c>
      <c r="E89" s="41">
        <v>403083</v>
      </c>
      <c r="F89" s="41">
        <v>203755</v>
      </c>
      <c r="G89" s="41">
        <v>116031</v>
      </c>
      <c r="H89" s="41">
        <v>87347</v>
      </c>
      <c r="I89" s="41">
        <v>66984</v>
      </c>
      <c r="J89" s="41">
        <v>63432</v>
      </c>
      <c r="K89" s="20"/>
      <c r="L89" s="20"/>
      <c r="M89" s="41">
        <v>4236296</v>
      </c>
      <c r="N89" s="41">
        <v>2297054</v>
      </c>
      <c r="O89" s="41">
        <v>1211797</v>
      </c>
      <c r="P89" s="41">
        <v>795304</v>
      </c>
      <c r="Q89" s="41">
        <v>566475</v>
      </c>
      <c r="R89" s="41">
        <v>577486</v>
      </c>
      <c r="S89" s="20"/>
      <c r="T89" s="20"/>
      <c r="U89" s="41">
        <v>49075131</v>
      </c>
      <c r="V89" s="41">
        <v>22794535</v>
      </c>
      <c r="W89" s="41">
        <v>10793579</v>
      </c>
      <c r="X89" s="41">
        <v>8875998</v>
      </c>
      <c r="Y89" s="41">
        <v>7414289</v>
      </c>
      <c r="Z89" s="41">
        <v>7951775</v>
      </c>
      <c r="AA89" s="20"/>
      <c r="AB89" s="20"/>
      <c r="AC89" s="41">
        <v>821154080</v>
      </c>
      <c r="AD89" s="41">
        <v>233823550</v>
      </c>
      <c r="AE89" s="41">
        <v>129093085</v>
      </c>
      <c r="AF89" s="41">
        <v>135810839</v>
      </c>
      <c r="AG89" s="41">
        <v>194580855</v>
      </c>
      <c r="AH89" s="43">
        <v>170439630</v>
      </c>
      <c r="AI89" s="21"/>
    </row>
    <row r="90" spans="2:35" x14ac:dyDescent="0.3">
      <c r="B90" s="30"/>
      <c r="C90" s="23"/>
      <c r="D90" s="42" t="s">
        <v>23</v>
      </c>
      <c r="E90" s="41">
        <v>401098</v>
      </c>
      <c r="F90" s="41">
        <v>206828</v>
      </c>
      <c r="G90" s="41">
        <v>109459</v>
      </c>
      <c r="H90" s="41">
        <v>91248</v>
      </c>
      <c r="I90" s="41">
        <v>66752</v>
      </c>
      <c r="J90" s="41">
        <v>62149</v>
      </c>
      <c r="K90" s="20"/>
      <c r="L90" s="20"/>
      <c r="M90" s="41">
        <v>4248617</v>
      </c>
      <c r="N90" s="41">
        <v>2269848</v>
      </c>
      <c r="O90" s="41">
        <v>1214012</v>
      </c>
      <c r="P90" s="41">
        <v>789896</v>
      </c>
      <c r="Q90" s="41">
        <v>568283</v>
      </c>
      <c r="R90" s="41">
        <v>571123</v>
      </c>
      <c r="S90" s="20"/>
      <c r="T90" s="20"/>
      <c r="U90" s="41">
        <v>49447380</v>
      </c>
      <c r="V90" s="41">
        <v>22886427</v>
      </c>
      <c r="W90" s="41">
        <v>10649606</v>
      </c>
      <c r="X90" s="41">
        <v>9012893</v>
      </c>
      <c r="Y90" s="41">
        <v>7337313</v>
      </c>
      <c r="Z90" s="41">
        <v>7872111</v>
      </c>
      <c r="AA90" s="20"/>
      <c r="AB90" s="20"/>
      <c r="AC90" s="41">
        <v>819734280</v>
      </c>
      <c r="AD90" s="41">
        <v>223207846</v>
      </c>
      <c r="AE90" s="41">
        <v>129081374</v>
      </c>
      <c r="AF90" s="41">
        <v>110414008</v>
      </c>
      <c r="AG90" s="41">
        <v>202463485</v>
      </c>
      <c r="AH90" s="43">
        <v>241079244</v>
      </c>
      <c r="AI90" s="21"/>
    </row>
    <row r="91" spans="2:35" x14ac:dyDescent="0.3">
      <c r="B91" s="30"/>
      <c r="C91" s="23"/>
      <c r="D91" s="42" t="s">
        <v>24</v>
      </c>
      <c r="E91" s="41">
        <v>402564</v>
      </c>
      <c r="F91" s="41">
        <v>204313</v>
      </c>
      <c r="G91" s="41">
        <v>110685</v>
      </c>
      <c r="H91" s="41">
        <v>86703</v>
      </c>
      <c r="I91" s="41">
        <v>67432</v>
      </c>
      <c r="J91" s="41">
        <v>62814</v>
      </c>
      <c r="K91" s="20"/>
      <c r="L91" s="20"/>
      <c r="M91" s="41">
        <v>4240589</v>
      </c>
      <c r="N91" s="41">
        <v>2277399</v>
      </c>
      <c r="O91" s="41">
        <v>1200033</v>
      </c>
      <c r="P91" s="41">
        <v>792244</v>
      </c>
      <c r="Q91" s="41">
        <v>564199</v>
      </c>
      <c r="R91" s="41">
        <v>587274</v>
      </c>
      <c r="S91" s="20"/>
      <c r="T91" s="20"/>
      <c r="U91" s="41">
        <v>49668093</v>
      </c>
      <c r="V91" s="41">
        <v>22901207</v>
      </c>
      <c r="W91" s="41">
        <v>10703102</v>
      </c>
      <c r="X91" s="41">
        <v>8895766</v>
      </c>
      <c r="Y91" s="41">
        <v>7344804</v>
      </c>
      <c r="Z91" s="41">
        <v>7986094</v>
      </c>
      <c r="AA91" s="20"/>
      <c r="AB91" s="20"/>
      <c r="AC91" s="41">
        <v>785388238</v>
      </c>
      <c r="AD91" s="41">
        <v>236420715</v>
      </c>
      <c r="AE91" s="41">
        <v>120764871</v>
      </c>
      <c r="AF91" s="41">
        <v>119103522</v>
      </c>
      <c r="AG91" s="41">
        <v>186515692</v>
      </c>
      <c r="AH91" s="43">
        <v>230902626</v>
      </c>
      <c r="AI91" s="21"/>
    </row>
    <row r="92" spans="2:35" x14ac:dyDescent="0.3">
      <c r="B92" s="30"/>
      <c r="C92" s="23"/>
      <c r="D92" s="42" t="s">
        <v>25</v>
      </c>
      <c r="E92" s="41">
        <v>402446</v>
      </c>
      <c r="F92" s="41">
        <v>204564</v>
      </c>
      <c r="G92" s="41">
        <v>110564</v>
      </c>
      <c r="H92" s="41">
        <v>82761</v>
      </c>
      <c r="I92" s="41">
        <v>66718</v>
      </c>
      <c r="J92" s="41">
        <v>62683</v>
      </c>
      <c r="K92" s="20"/>
      <c r="L92" s="20"/>
      <c r="M92" s="41">
        <v>4230849</v>
      </c>
      <c r="N92" s="41">
        <v>2287248</v>
      </c>
      <c r="O92" s="41">
        <v>1213307</v>
      </c>
      <c r="P92" s="41">
        <v>789288</v>
      </c>
      <c r="Q92" s="41">
        <v>566552</v>
      </c>
      <c r="R92" s="41">
        <v>586651</v>
      </c>
      <c r="S92" s="20"/>
      <c r="T92" s="20"/>
      <c r="U92" s="41">
        <v>49310473</v>
      </c>
      <c r="V92" s="41">
        <v>22802601</v>
      </c>
      <c r="W92" s="41">
        <v>10540732</v>
      </c>
      <c r="X92" s="41">
        <v>8935965</v>
      </c>
      <c r="Y92" s="41">
        <v>7311111</v>
      </c>
      <c r="Z92" s="41">
        <v>7840249</v>
      </c>
      <c r="AA92" s="20"/>
      <c r="AB92" s="20"/>
      <c r="AC92" s="41">
        <v>770292396</v>
      </c>
      <c r="AD92" s="41">
        <v>236985794</v>
      </c>
      <c r="AE92" s="41">
        <v>116618380</v>
      </c>
      <c r="AF92" s="41">
        <v>138424985</v>
      </c>
      <c r="AG92" s="41">
        <v>168972426</v>
      </c>
      <c r="AH92" s="43">
        <v>248921499</v>
      </c>
      <c r="AI92" s="21"/>
    </row>
    <row r="93" spans="2:35" x14ac:dyDescent="0.3">
      <c r="B93" s="30"/>
      <c r="C93" s="23"/>
      <c r="D93" s="42" t="s">
        <v>26</v>
      </c>
      <c r="E93" s="41">
        <v>403782</v>
      </c>
      <c r="F93" s="41">
        <v>202750</v>
      </c>
      <c r="G93" s="41">
        <v>110480</v>
      </c>
      <c r="H93" s="41">
        <v>88270</v>
      </c>
      <c r="I93" s="41">
        <v>67662</v>
      </c>
      <c r="J93" s="41">
        <v>63364</v>
      </c>
      <c r="K93" s="20"/>
      <c r="L93" s="20"/>
      <c r="M93" s="41">
        <v>4235846</v>
      </c>
      <c r="N93" s="41">
        <v>2283668</v>
      </c>
      <c r="O93" s="41">
        <v>1215033</v>
      </c>
      <c r="P93" s="41">
        <v>790928</v>
      </c>
      <c r="Q93" s="41">
        <v>571060</v>
      </c>
      <c r="R93" s="41">
        <v>577677</v>
      </c>
      <c r="S93" s="20"/>
      <c r="T93" s="20"/>
      <c r="U93" s="41">
        <v>49716288</v>
      </c>
      <c r="V93" s="41">
        <v>22795312</v>
      </c>
      <c r="W93" s="41">
        <v>10665928</v>
      </c>
      <c r="X93" s="41">
        <v>8997575</v>
      </c>
      <c r="Y93" s="41">
        <v>7363198</v>
      </c>
      <c r="Z93" s="41">
        <v>8232086</v>
      </c>
      <c r="AA93" s="20"/>
      <c r="AB93" s="20"/>
      <c r="AC93" s="41">
        <v>644192664</v>
      </c>
      <c r="AD93" s="41">
        <v>239196862</v>
      </c>
      <c r="AE93" s="41">
        <v>120772031</v>
      </c>
      <c r="AF93" s="41">
        <v>160099131</v>
      </c>
      <c r="AG93" s="41">
        <v>150043523</v>
      </c>
      <c r="AH93" s="43">
        <v>244565297</v>
      </c>
      <c r="AI93" s="21"/>
    </row>
    <row r="94" spans="2:35" x14ac:dyDescent="0.3">
      <c r="B94" s="30"/>
      <c r="C94" s="23"/>
      <c r="D94" s="42" t="s">
        <v>27</v>
      </c>
      <c r="E94" s="41">
        <v>401728</v>
      </c>
      <c r="F94" s="41">
        <v>202513</v>
      </c>
      <c r="G94" s="41">
        <v>112268</v>
      </c>
      <c r="H94" s="41">
        <v>89517</v>
      </c>
      <c r="I94" s="41">
        <v>67620</v>
      </c>
      <c r="J94" s="41">
        <v>63746</v>
      </c>
      <c r="K94" s="20"/>
      <c r="L94" s="20"/>
      <c r="M94" s="41">
        <v>4244451</v>
      </c>
      <c r="N94" s="41">
        <v>2120441</v>
      </c>
      <c r="O94" s="41">
        <v>1215406</v>
      </c>
      <c r="P94" s="41">
        <v>782865</v>
      </c>
      <c r="Q94" s="41">
        <v>651090</v>
      </c>
      <c r="R94" s="41">
        <v>575209</v>
      </c>
      <c r="S94" s="20"/>
      <c r="T94" s="20"/>
      <c r="U94" s="41">
        <v>49310109</v>
      </c>
      <c r="V94" s="41">
        <v>22841924</v>
      </c>
      <c r="W94" s="41">
        <v>10803179</v>
      </c>
      <c r="X94" s="41">
        <v>8991416</v>
      </c>
      <c r="Y94" s="41">
        <v>7295031</v>
      </c>
      <c r="Z94" s="41">
        <v>8049669</v>
      </c>
      <c r="AA94" s="20"/>
      <c r="AB94" s="20"/>
      <c r="AC94" s="41">
        <v>777651824</v>
      </c>
      <c r="AD94" s="41">
        <v>243039768</v>
      </c>
      <c r="AE94" s="41">
        <v>122808192</v>
      </c>
      <c r="AF94" s="41">
        <v>143862390</v>
      </c>
      <c r="AG94" s="41">
        <v>227957677</v>
      </c>
      <c r="AH94" s="43">
        <v>247735276</v>
      </c>
      <c r="AI94" s="21"/>
    </row>
    <row r="95" spans="2:35" x14ac:dyDescent="0.3">
      <c r="B95" s="30"/>
      <c r="C95" s="23"/>
      <c r="D95" s="42" t="s">
        <v>28</v>
      </c>
      <c r="E95" s="41">
        <v>402373</v>
      </c>
      <c r="F95" s="41">
        <v>203969</v>
      </c>
      <c r="G95" s="41">
        <v>121176</v>
      </c>
      <c r="H95" s="41">
        <v>89857</v>
      </c>
      <c r="I95" s="41">
        <v>69878</v>
      </c>
      <c r="J95" s="41">
        <v>61225</v>
      </c>
      <c r="K95" s="20"/>
      <c r="L95" s="20"/>
      <c r="M95" s="41">
        <v>4247162</v>
      </c>
      <c r="N95" s="41">
        <v>2292481</v>
      </c>
      <c r="O95" s="41">
        <v>1212207</v>
      </c>
      <c r="P95" s="41">
        <v>795852</v>
      </c>
      <c r="Q95" s="41">
        <v>568043</v>
      </c>
      <c r="R95" s="41">
        <v>588749</v>
      </c>
      <c r="S95" s="20"/>
      <c r="T95" s="20"/>
      <c r="U95" s="41">
        <v>49202547</v>
      </c>
      <c r="V95" s="41">
        <v>22850108</v>
      </c>
      <c r="W95" s="41">
        <v>10538347</v>
      </c>
      <c r="X95" s="41">
        <v>8934458</v>
      </c>
      <c r="Y95" s="41">
        <v>7265147</v>
      </c>
      <c r="Z95" s="41">
        <v>8521261</v>
      </c>
      <c r="AA95" s="20"/>
      <c r="AB95" s="20"/>
      <c r="AC95" s="41">
        <v>791403760</v>
      </c>
      <c r="AD95" s="41">
        <v>238729484</v>
      </c>
      <c r="AE95" s="41">
        <v>119013506</v>
      </c>
      <c r="AF95" s="41">
        <v>140833519</v>
      </c>
      <c r="AG95" s="41">
        <v>191695435</v>
      </c>
      <c r="AH95" s="43">
        <v>221055259</v>
      </c>
      <c r="AI95" s="21"/>
    </row>
    <row r="96" spans="2:35" x14ac:dyDescent="0.3">
      <c r="B96" s="30"/>
      <c r="C96" s="23"/>
      <c r="D96" s="42" t="s">
        <v>29</v>
      </c>
      <c r="E96" s="41">
        <v>403458</v>
      </c>
      <c r="F96" s="41">
        <v>210109</v>
      </c>
      <c r="G96" s="41">
        <v>109232</v>
      </c>
      <c r="H96" s="41">
        <v>86196</v>
      </c>
      <c r="I96" s="41">
        <v>65094</v>
      </c>
      <c r="J96" s="41">
        <v>63975</v>
      </c>
      <c r="K96" s="20"/>
      <c r="L96" s="20"/>
      <c r="M96" s="41">
        <v>4238007</v>
      </c>
      <c r="N96" s="41">
        <v>2312215</v>
      </c>
      <c r="O96" s="41">
        <v>1218725</v>
      </c>
      <c r="P96" s="41">
        <v>784994</v>
      </c>
      <c r="Q96" s="41">
        <v>567993</v>
      </c>
      <c r="R96" s="41">
        <v>574664</v>
      </c>
      <c r="S96" s="20"/>
      <c r="T96" s="20"/>
      <c r="U96" s="41">
        <v>51761229</v>
      </c>
      <c r="V96" s="41">
        <v>23281584</v>
      </c>
      <c r="W96" s="41">
        <v>10626270</v>
      </c>
      <c r="X96" s="41">
        <v>8973835</v>
      </c>
      <c r="Y96" s="41">
        <v>7323025</v>
      </c>
      <c r="Z96" s="41">
        <v>7795837</v>
      </c>
      <c r="AA96" s="20"/>
      <c r="AB96" s="20"/>
      <c r="AC96" s="41">
        <v>638834932</v>
      </c>
      <c r="AD96" s="41">
        <v>236100925</v>
      </c>
      <c r="AE96" s="41">
        <v>127856103</v>
      </c>
      <c r="AF96" s="41">
        <v>147129666</v>
      </c>
      <c r="AG96" s="41">
        <v>190477755</v>
      </c>
      <c r="AH96" s="43">
        <v>234221200</v>
      </c>
      <c r="AI96" s="21"/>
    </row>
    <row r="97" spans="2:35" x14ac:dyDescent="0.3">
      <c r="B97" s="30"/>
      <c r="C97" s="23"/>
      <c r="D97" s="42" t="s">
        <v>30</v>
      </c>
      <c r="E97" s="41">
        <v>401543</v>
      </c>
      <c r="F97" s="41">
        <v>203211</v>
      </c>
      <c r="G97" s="41">
        <v>120500</v>
      </c>
      <c r="H97" s="41">
        <v>89892</v>
      </c>
      <c r="I97" s="41">
        <v>66709</v>
      </c>
      <c r="J97" s="41">
        <v>62020</v>
      </c>
      <c r="K97" s="20"/>
      <c r="L97" s="20"/>
      <c r="M97" s="41">
        <v>4244339</v>
      </c>
      <c r="N97" s="41">
        <v>2309990</v>
      </c>
      <c r="O97" s="41">
        <v>1212242</v>
      </c>
      <c r="P97" s="41">
        <v>792900</v>
      </c>
      <c r="Q97" s="41">
        <v>567209</v>
      </c>
      <c r="R97" s="41">
        <v>578530</v>
      </c>
      <c r="S97" s="20"/>
      <c r="T97" s="20"/>
      <c r="U97" s="41">
        <v>49496457</v>
      </c>
      <c r="V97" s="41">
        <v>23239460</v>
      </c>
      <c r="W97" s="41">
        <v>10722868</v>
      </c>
      <c r="X97" s="41">
        <v>8709505</v>
      </c>
      <c r="Y97" s="41">
        <v>7269745</v>
      </c>
      <c r="Z97" s="41">
        <v>7943032</v>
      </c>
      <c r="AA97" s="20"/>
      <c r="AB97" s="20"/>
      <c r="AC97" s="41">
        <v>634875670</v>
      </c>
      <c r="AD97" s="41">
        <v>235238366</v>
      </c>
      <c r="AE97" s="41">
        <v>121611871</v>
      </c>
      <c r="AF97" s="41">
        <v>152297296</v>
      </c>
      <c r="AG97" s="41">
        <v>151841999</v>
      </c>
      <c r="AH97" s="43">
        <v>242017784</v>
      </c>
      <c r="AI97" s="21"/>
    </row>
    <row r="98" spans="2:35" x14ac:dyDescent="0.3">
      <c r="B98" s="30"/>
      <c r="C98" s="23"/>
      <c r="D98" s="42" t="s">
        <v>31</v>
      </c>
      <c r="E98" s="41">
        <v>405665</v>
      </c>
      <c r="F98" s="41">
        <v>205254</v>
      </c>
      <c r="G98" s="41">
        <v>110043</v>
      </c>
      <c r="H98" s="41">
        <v>86401</v>
      </c>
      <c r="I98" s="41">
        <v>65622</v>
      </c>
      <c r="J98" s="41">
        <v>62690</v>
      </c>
      <c r="K98" s="20"/>
      <c r="L98" s="20"/>
      <c r="M98" s="41">
        <v>4246149</v>
      </c>
      <c r="N98" s="41">
        <v>2263642</v>
      </c>
      <c r="O98" s="41">
        <v>1212879</v>
      </c>
      <c r="P98" s="41">
        <v>800101</v>
      </c>
      <c r="Q98" s="41">
        <v>567320</v>
      </c>
      <c r="R98" s="41">
        <v>582346</v>
      </c>
      <c r="S98" s="20"/>
      <c r="T98" s="20"/>
      <c r="U98" s="41">
        <v>48882539</v>
      </c>
      <c r="V98" s="41">
        <v>22987402</v>
      </c>
      <c r="W98" s="41">
        <v>10706313</v>
      </c>
      <c r="X98" s="41">
        <v>8963507</v>
      </c>
      <c r="Y98" s="41">
        <v>7271070</v>
      </c>
      <c r="Z98" s="41">
        <v>8462066</v>
      </c>
      <c r="AA98" s="20"/>
      <c r="AB98" s="20"/>
      <c r="AC98" s="41">
        <v>640782250</v>
      </c>
      <c r="AD98" s="41">
        <v>242584171</v>
      </c>
      <c r="AE98" s="41">
        <v>117619224</v>
      </c>
      <c r="AF98" s="41">
        <v>128639217</v>
      </c>
      <c r="AG98" s="41">
        <v>159620665</v>
      </c>
      <c r="AH98" s="43">
        <v>227832823</v>
      </c>
      <c r="AI98" s="21"/>
    </row>
    <row r="99" spans="2:35" x14ac:dyDescent="0.3">
      <c r="B99" s="30"/>
      <c r="C99" s="23"/>
      <c r="D99" s="42" t="s">
        <v>32</v>
      </c>
      <c r="E99" s="41">
        <v>398035</v>
      </c>
      <c r="F99" s="41">
        <v>212935</v>
      </c>
      <c r="G99" s="41">
        <v>113151</v>
      </c>
      <c r="H99" s="41">
        <v>89580</v>
      </c>
      <c r="I99" s="41">
        <v>66862</v>
      </c>
      <c r="J99" s="41">
        <v>62966</v>
      </c>
      <c r="K99" s="20"/>
      <c r="L99" s="20"/>
      <c r="M99" s="41">
        <v>4236800</v>
      </c>
      <c r="N99" s="41">
        <v>2318953</v>
      </c>
      <c r="O99" s="41">
        <v>1217206</v>
      </c>
      <c r="P99" s="41">
        <v>782308</v>
      </c>
      <c r="Q99" s="41">
        <v>564290</v>
      </c>
      <c r="R99" s="41">
        <v>588017</v>
      </c>
      <c r="S99" s="20"/>
      <c r="T99" s="20"/>
      <c r="U99" s="41">
        <v>49549904</v>
      </c>
      <c r="V99" s="41">
        <v>22799548</v>
      </c>
      <c r="W99" s="41">
        <v>10618704</v>
      </c>
      <c r="X99" s="41">
        <v>8854887</v>
      </c>
      <c r="Y99" s="41">
        <v>7318590</v>
      </c>
      <c r="Z99" s="41">
        <v>7835957</v>
      </c>
      <c r="AA99" s="20"/>
      <c r="AB99" s="20"/>
      <c r="AC99" s="41">
        <v>783487018</v>
      </c>
      <c r="AD99" s="41">
        <v>234543592</v>
      </c>
      <c r="AE99" s="41">
        <v>119741234</v>
      </c>
      <c r="AF99" s="41">
        <v>153989314</v>
      </c>
      <c r="AG99" s="41">
        <v>145352339</v>
      </c>
      <c r="AH99" s="43">
        <v>233241574</v>
      </c>
      <c r="AI99" s="21"/>
    </row>
    <row r="100" spans="2:35" x14ac:dyDescent="0.3">
      <c r="B100" s="30"/>
      <c r="C100" s="23"/>
      <c r="D100" s="42" t="s">
        <v>33</v>
      </c>
      <c r="E100" s="41">
        <v>398230</v>
      </c>
      <c r="F100" s="41">
        <v>203945</v>
      </c>
      <c r="G100" s="41">
        <v>110607</v>
      </c>
      <c r="H100" s="41">
        <v>88892</v>
      </c>
      <c r="I100" s="41">
        <v>67394</v>
      </c>
      <c r="J100" s="41">
        <v>61679</v>
      </c>
      <c r="K100" s="20"/>
      <c r="L100" s="20"/>
      <c r="M100" s="41">
        <v>4237417</v>
      </c>
      <c r="N100" s="41">
        <v>2284448</v>
      </c>
      <c r="O100" s="41">
        <v>1224209</v>
      </c>
      <c r="P100" s="41">
        <v>797678</v>
      </c>
      <c r="Q100" s="41">
        <v>564412</v>
      </c>
      <c r="R100" s="41">
        <v>578088</v>
      </c>
      <c r="S100" s="20"/>
      <c r="T100" s="20"/>
      <c r="U100" s="41">
        <v>49199517</v>
      </c>
      <c r="V100" s="41">
        <v>22783319</v>
      </c>
      <c r="W100" s="41">
        <v>10810426</v>
      </c>
      <c r="X100" s="41">
        <v>8997969</v>
      </c>
      <c r="Y100" s="41">
        <v>7298240</v>
      </c>
      <c r="Z100" s="41">
        <v>7914514</v>
      </c>
      <c r="AA100" s="20"/>
      <c r="AB100" s="20"/>
      <c r="AC100" s="41">
        <v>804198173</v>
      </c>
      <c r="AD100" s="41">
        <v>237173331</v>
      </c>
      <c r="AE100" s="41">
        <v>122797470</v>
      </c>
      <c r="AF100" s="41">
        <v>145186522</v>
      </c>
      <c r="AG100" s="41">
        <v>158658041</v>
      </c>
      <c r="AH100" s="43">
        <v>240410598</v>
      </c>
      <c r="AI100" s="21"/>
    </row>
    <row r="101" spans="2:35" x14ac:dyDescent="0.3">
      <c r="B101" s="30"/>
      <c r="C101" s="23"/>
      <c r="D101" s="42" t="s">
        <v>34</v>
      </c>
      <c r="E101" s="41">
        <v>404123</v>
      </c>
      <c r="F101" s="41">
        <v>203206</v>
      </c>
      <c r="G101" s="41">
        <v>110277</v>
      </c>
      <c r="H101" s="41">
        <v>90091</v>
      </c>
      <c r="I101" s="41">
        <v>65067</v>
      </c>
      <c r="J101" s="41">
        <v>62153</v>
      </c>
      <c r="K101" s="20"/>
      <c r="L101" s="20"/>
      <c r="M101" s="41">
        <v>4237660</v>
      </c>
      <c r="N101" s="41">
        <v>2318783</v>
      </c>
      <c r="O101" s="41">
        <v>1158690</v>
      </c>
      <c r="P101" s="41">
        <v>783487</v>
      </c>
      <c r="Q101" s="41">
        <v>563498</v>
      </c>
      <c r="R101" s="41">
        <v>588778</v>
      </c>
      <c r="S101" s="20"/>
      <c r="T101" s="20"/>
      <c r="U101" s="41">
        <v>49256356</v>
      </c>
      <c r="V101" s="41">
        <v>23253806</v>
      </c>
      <c r="W101" s="41">
        <v>10575858</v>
      </c>
      <c r="X101" s="41">
        <v>8943530</v>
      </c>
      <c r="Y101" s="41">
        <v>7302505</v>
      </c>
      <c r="Z101" s="41">
        <v>8002590</v>
      </c>
      <c r="AA101" s="20"/>
      <c r="AB101" s="20"/>
      <c r="AC101" s="41">
        <v>812850566</v>
      </c>
      <c r="AD101" s="41">
        <v>236852635</v>
      </c>
      <c r="AE101" s="41">
        <v>122274529</v>
      </c>
      <c r="AF101" s="41">
        <v>133175519</v>
      </c>
      <c r="AG101" s="41">
        <v>148928384</v>
      </c>
      <c r="AH101" s="43">
        <v>235733142</v>
      </c>
      <c r="AI101" s="21"/>
    </row>
    <row r="102" spans="2:35" x14ac:dyDescent="0.3">
      <c r="B102" s="30"/>
      <c r="C102" s="23"/>
      <c r="D102" s="42" t="s">
        <v>35</v>
      </c>
      <c r="E102" s="41">
        <v>398742</v>
      </c>
      <c r="F102" s="41">
        <v>204718</v>
      </c>
      <c r="G102" s="41">
        <v>117402</v>
      </c>
      <c r="H102" s="41">
        <v>83589</v>
      </c>
      <c r="I102" s="41">
        <v>66772</v>
      </c>
      <c r="J102" s="41">
        <v>66332</v>
      </c>
      <c r="K102" s="20"/>
      <c r="L102" s="20"/>
      <c r="M102" s="41">
        <v>4236835</v>
      </c>
      <c r="N102" s="41">
        <v>2277966</v>
      </c>
      <c r="O102" s="41">
        <v>1223233</v>
      </c>
      <c r="P102" s="41">
        <v>795160</v>
      </c>
      <c r="Q102" s="41">
        <v>566372</v>
      </c>
      <c r="R102" s="41">
        <v>574293</v>
      </c>
      <c r="S102" s="20"/>
      <c r="T102" s="20"/>
      <c r="U102" s="41">
        <v>49526909</v>
      </c>
      <c r="V102" s="41">
        <v>23094028</v>
      </c>
      <c r="W102" s="41">
        <v>10769401</v>
      </c>
      <c r="X102" s="41">
        <v>8801209</v>
      </c>
      <c r="Y102" s="41">
        <v>7335293</v>
      </c>
      <c r="Z102" s="41">
        <v>7835786</v>
      </c>
      <c r="AA102" s="20"/>
      <c r="AB102" s="20"/>
      <c r="AC102" s="41">
        <v>809714028</v>
      </c>
      <c r="AD102" s="41">
        <v>236827806</v>
      </c>
      <c r="AE102" s="41">
        <v>119669006</v>
      </c>
      <c r="AF102" s="41">
        <v>171385530</v>
      </c>
      <c r="AG102" s="41">
        <v>189654006</v>
      </c>
      <c r="AH102" s="43">
        <v>225628381</v>
      </c>
      <c r="AI102" s="21"/>
    </row>
    <row r="103" spans="2:35" x14ac:dyDescent="0.3">
      <c r="B103" s="30"/>
      <c r="C103" s="23"/>
      <c r="D103" s="42" t="s">
        <v>36</v>
      </c>
      <c r="E103" s="41">
        <v>412829</v>
      </c>
      <c r="F103" s="41">
        <v>204047</v>
      </c>
      <c r="G103" s="41">
        <v>119406</v>
      </c>
      <c r="H103" s="41">
        <v>83785</v>
      </c>
      <c r="I103" s="41">
        <v>66818</v>
      </c>
      <c r="J103" s="41">
        <v>64758</v>
      </c>
      <c r="K103" s="20"/>
      <c r="L103" s="20"/>
      <c r="M103" s="41">
        <v>4241167</v>
      </c>
      <c r="N103" s="41">
        <v>2277739</v>
      </c>
      <c r="O103" s="41">
        <v>1224841</v>
      </c>
      <c r="P103" s="41">
        <v>795374</v>
      </c>
      <c r="Q103" s="41">
        <v>564886</v>
      </c>
      <c r="R103" s="41">
        <v>574891</v>
      </c>
      <c r="S103" s="20"/>
      <c r="T103" s="20"/>
      <c r="U103" s="41">
        <v>49853338</v>
      </c>
      <c r="V103" s="41">
        <v>23059763</v>
      </c>
      <c r="W103" s="41">
        <v>10675325</v>
      </c>
      <c r="X103" s="41">
        <v>8892886</v>
      </c>
      <c r="Y103" s="41">
        <v>7310871</v>
      </c>
      <c r="Z103" s="41">
        <v>8881221</v>
      </c>
      <c r="AA103" s="20"/>
      <c r="AB103" s="20"/>
      <c r="AC103" s="41">
        <v>813978558</v>
      </c>
      <c r="AD103" s="41">
        <v>232995857</v>
      </c>
      <c r="AE103" s="41">
        <v>120938086</v>
      </c>
      <c r="AF103" s="41">
        <v>174769309</v>
      </c>
      <c r="AG103" s="41">
        <v>185186857</v>
      </c>
      <c r="AH103" s="43">
        <v>237626354</v>
      </c>
      <c r="AI103" s="21"/>
    </row>
    <row r="104" spans="2:35" x14ac:dyDescent="0.3">
      <c r="B104" s="30"/>
      <c r="C104" s="23"/>
      <c r="D104" s="42" t="s">
        <v>37</v>
      </c>
      <c r="E104" s="41">
        <v>399311</v>
      </c>
      <c r="F104" s="41">
        <v>203615</v>
      </c>
      <c r="G104" s="41">
        <v>116699</v>
      </c>
      <c r="H104" s="41">
        <v>88561</v>
      </c>
      <c r="I104" s="41">
        <v>67746</v>
      </c>
      <c r="J104" s="41">
        <v>65270</v>
      </c>
      <c r="K104" s="20"/>
      <c r="L104" s="20"/>
      <c r="M104" s="41">
        <v>4236896</v>
      </c>
      <c r="N104" s="41">
        <v>2314443</v>
      </c>
      <c r="O104" s="41">
        <v>1219661</v>
      </c>
      <c r="P104" s="41">
        <v>796923</v>
      </c>
      <c r="Q104" s="41">
        <v>567679</v>
      </c>
      <c r="R104" s="41">
        <v>575799</v>
      </c>
      <c r="S104" s="20"/>
      <c r="T104" s="20"/>
      <c r="U104" s="41">
        <v>85210027</v>
      </c>
      <c r="V104" s="41">
        <v>22499854</v>
      </c>
      <c r="W104" s="41">
        <v>10716968</v>
      </c>
      <c r="X104" s="41">
        <v>8915830</v>
      </c>
      <c r="Y104" s="41">
        <v>7327585</v>
      </c>
      <c r="Z104" s="41">
        <v>7939523</v>
      </c>
      <c r="AA104" s="20"/>
      <c r="AB104" s="20"/>
      <c r="AC104" s="41">
        <v>815075170</v>
      </c>
      <c r="AD104" s="41">
        <v>235246377</v>
      </c>
      <c r="AE104" s="41">
        <v>126106310</v>
      </c>
      <c r="AF104" s="41">
        <v>122800776</v>
      </c>
      <c r="AG104" s="41">
        <v>178440404</v>
      </c>
      <c r="AH104" s="43">
        <v>240069987</v>
      </c>
      <c r="AI104" s="21"/>
    </row>
    <row r="105" spans="2:35" x14ac:dyDescent="0.3">
      <c r="B105" s="30"/>
      <c r="C105" s="23"/>
      <c r="D105" s="42" t="s">
        <v>38</v>
      </c>
      <c r="E105" s="41">
        <v>398019</v>
      </c>
      <c r="F105" s="41">
        <v>202905</v>
      </c>
      <c r="G105" s="41">
        <v>116567</v>
      </c>
      <c r="H105" s="41">
        <v>86606</v>
      </c>
      <c r="I105" s="41">
        <v>66839</v>
      </c>
      <c r="J105" s="41">
        <v>62460</v>
      </c>
      <c r="K105" s="20"/>
      <c r="L105" s="20"/>
      <c r="M105" s="41">
        <v>4248188</v>
      </c>
      <c r="N105" s="41">
        <v>2317512</v>
      </c>
      <c r="O105" s="41">
        <v>1187132</v>
      </c>
      <c r="P105" s="41">
        <v>797876</v>
      </c>
      <c r="Q105" s="41">
        <v>566238</v>
      </c>
      <c r="R105" s="41">
        <v>589312</v>
      </c>
      <c r="S105" s="20"/>
      <c r="T105" s="20"/>
      <c r="U105" s="41">
        <v>50053562</v>
      </c>
      <c r="V105" s="41">
        <v>23173015</v>
      </c>
      <c r="W105" s="41">
        <v>10621313</v>
      </c>
      <c r="X105" s="41">
        <v>8867745</v>
      </c>
      <c r="Y105" s="41">
        <v>7334919</v>
      </c>
      <c r="Z105" s="41">
        <v>8109420</v>
      </c>
      <c r="AA105" s="20"/>
      <c r="AB105" s="20"/>
      <c r="AC105" s="41">
        <v>826803345</v>
      </c>
      <c r="AD105" s="41">
        <v>237044482</v>
      </c>
      <c r="AE105" s="41">
        <v>147436182</v>
      </c>
      <c r="AF105" s="41">
        <v>158420289</v>
      </c>
      <c r="AG105" s="41">
        <v>191419859</v>
      </c>
      <c r="AH105" s="43">
        <v>238793355</v>
      </c>
      <c r="AI105" s="21"/>
    </row>
    <row r="106" spans="2:35" x14ac:dyDescent="0.3">
      <c r="B106" s="30"/>
      <c r="C106" s="23"/>
      <c r="D106" s="42" t="s">
        <v>39</v>
      </c>
      <c r="E106" s="41">
        <v>413302</v>
      </c>
      <c r="F106" s="41">
        <v>203414</v>
      </c>
      <c r="G106" s="41">
        <v>110988</v>
      </c>
      <c r="H106" s="41">
        <v>86475</v>
      </c>
      <c r="I106" s="41">
        <v>66453</v>
      </c>
      <c r="J106" s="41">
        <v>62178</v>
      </c>
      <c r="K106" s="20"/>
      <c r="L106" s="20"/>
      <c r="M106" s="41">
        <v>4246387</v>
      </c>
      <c r="N106" s="41">
        <v>2310100</v>
      </c>
      <c r="O106" s="41">
        <v>1219568</v>
      </c>
      <c r="P106" s="41">
        <v>787678</v>
      </c>
      <c r="Q106" s="41">
        <v>563984</v>
      </c>
      <c r="R106" s="41">
        <v>586837</v>
      </c>
      <c r="S106" s="20"/>
      <c r="T106" s="20"/>
      <c r="U106" s="41">
        <v>49990435</v>
      </c>
      <c r="V106" s="41">
        <v>22986664</v>
      </c>
      <c r="W106" s="41">
        <v>10754652</v>
      </c>
      <c r="X106" s="41">
        <v>8811424</v>
      </c>
      <c r="Y106" s="41">
        <v>7316941</v>
      </c>
      <c r="Z106" s="41">
        <v>9243923</v>
      </c>
      <c r="AA106" s="20"/>
      <c r="AB106" s="20"/>
      <c r="AC106" s="41">
        <v>834943093</v>
      </c>
      <c r="AD106" s="41">
        <v>222713885</v>
      </c>
      <c r="AE106" s="41">
        <v>128107885</v>
      </c>
      <c r="AF106" s="41">
        <v>137218310</v>
      </c>
      <c r="AG106" s="41">
        <v>178367707</v>
      </c>
      <c r="AH106" s="43">
        <v>242419753</v>
      </c>
      <c r="AI106" s="21"/>
    </row>
    <row r="107" spans="2:35" ht="15" thickBot="1" x14ac:dyDescent="0.35">
      <c r="B107" s="30"/>
      <c r="C107" s="24"/>
      <c r="D107" s="37" t="s">
        <v>44</v>
      </c>
      <c r="E107" s="25" cm="1">
        <f t="array" ref="E107">ROUND(AVERAGE(IF((ISNUMBER(E77:E106))*(E77:E106&lt;LARGE(E77:E106,2))*(E77:E106&gt;SMALL(E77:E106,2)),E77:E106)),0)</f>
        <v>401855</v>
      </c>
      <c r="F107" s="25" cm="1">
        <f t="array" ref="F107">ROUND(AVERAGE(IF((ISNUMBER(F77:F106))*(F77:F106&lt;LARGE(F77:F106,2))*(F77:F106&gt;SMALL(F77:F106,2)),F77:F106)),0)</f>
        <v>204583</v>
      </c>
      <c r="G107" s="25" cm="1">
        <f t="array" ref="G107">ROUND(AVERAGE(IF((ISNUMBER(G77:G106))*(G77:G106&lt;LARGE(G77:G106,2))*(G77:G106&gt;SMALL(G77:G106,2)),G77:G106)),0)</f>
        <v>113667</v>
      </c>
      <c r="H107" s="25" cm="1">
        <f t="array" ref="H107">ROUND(AVERAGE(IF((ISNUMBER(H77:H106))*(H77:H106&lt;LARGE(H77:H106,2))*(H77:H106&gt;SMALL(H77:H106,2)),H77:H106)),0)</f>
        <v>87857</v>
      </c>
      <c r="I107" s="25" cm="1">
        <f t="array" ref="I107">ROUND(AVERAGE(IF((ISNUMBER(I77:I106))*(I77:I106&lt;LARGE(I77:I106,2))*(I77:I106&gt;SMALL(I77:I106,2)),I77:I106)),0)</f>
        <v>66784</v>
      </c>
      <c r="J107" s="25" cm="1">
        <f t="array" ref="J107">ROUND(AVERAGE(IF((ISNUMBER(J77:J106))*(J77:J106&lt;LARGE(J77:J106,2))*(J77:J106&gt;SMALL(J77:J106,2)),J77:J106)),0)</f>
        <v>62877</v>
      </c>
      <c r="K107" s="25"/>
      <c r="L107" s="25"/>
      <c r="M107" s="25" cm="1">
        <f t="array" ref="M107">ROUND(AVERAGE(IF((ISNUMBER(M77:M106))*(M77:M106&lt;LARGE(M77:M106,2))*(M77:M106&gt;SMALL(M77:M106,2)),M77:M106)),0)</f>
        <v>4241267</v>
      </c>
      <c r="N107" s="25" cm="1">
        <f t="array" ref="N107">ROUND(AVERAGE(IF((ISNUMBER(N77:N106))*(N77:N106&lt;LARGE(N77:N106,2))*(N77:N106&gt;SMALL(N77:N106,2)),N77:N106)),0)</f>
        <v>2292171</v>
      </c>
      <c r="O107" s="25" cm="1">
        <f t="array" ref="O107">ROUND(AVERAGE(IF((ISNUMBER(O77:O106))*(O77:O106&lt;LARGE(O77:O106,2))*(O77:O106&gt;SMALL(O77:O106,2)),O77:O106)),0)</f>
        <v>1215154</v>
      </c>
      <c r="P107" s="25" cm="1">
        <f t="array" ref="P107">ROUND(AVERAGE(IF((ISNUMBER(P77:P106))*(P77:P106&lt;LARGE(P77:P106,2))*(P77:P106&gt;SMALL(P77:P106,2)),P77:P106)),0)</f>
        <v>792073</v>
      </c>
      <c r="Q107" s="25" cm="1">
        <f t="array" ref="Q107">ROUND(AVERAGE(IF((ISNUMBER(Q77:Q106))*(Q77:Q106&lt;LARGE(Q77:Q106,2))*(Q77:Q106&gt;SMALL(Q77:Q106,2)),Q77:Q106)),0)</f>
        <v>566551</v>
      </c>
      <c r="R107" s="25" cm="1">
        <f t="array" ref="R107">ROUND(AVERAGE(IF((ISNUMBER(R77:R106))*(R77:R106&lt;LARGE(R77:R106,2))*(R77:R106&gt;SMALL(R77:R106,2)),R77:R106)),0)</f>
        <v>580949</v>
      </c>
      <c r="S107" s="25"/>
      <c r="T107" s="25"/>
      <c r="U107" s="25" cm="1">
        <f t="array" ref="U107">ROUND(AVERAGE(IF((ISNUMBER(U77:U106))*(U77:U106&lt;LARGE(U77:U106,2))*(U77:U106&gt;SMALL(U77:U106,2)),U77:U106)),0)</f>
        <v>49554142</v>
      </c>
      <c r="V107" s="25" cm="1">
        <f t="array" ref="V107">ROUND(AVERAGE(IF((ISNUMBER(V77:V106))*(V77:V106&lt;LARGE(V77:V106,2))*(V77:V106&gt;SMALL(V77:V106,2)),V77:V106)),0)</f>
        <v>22935346</v>
      </c>
      <c r="W107" s="25" cm="1">
        <f t="array" ref="W107">ROUND(AVERAGE(IF((ISNUMBER(W77:W106))*(W77:W106&lt;LARGE(W77:W106,2))*(W77:W106&gt;SMALL(W77:W106,2)),W77:W106)),0)</f>
        <v>10680729</v>
      </c>
      <c r="X107" s="25" cm="1">
        <f t="array" ref="X107">ROUND(AVERAGE(IF((ISNUMBER(X77:X106))*(X77:X106&lt;LARGE(X77:X106,2))*(X77:X106&gt;SMALL(X77:X106,2)),X77:X106)),0)</f>
        <v>8934480</v>
      </c>
      <c r="Y107" s="25" cm="1">
        <f t="array" ref="Y107">ROUND(AVERAGE(IF((ISNUMBER(Y77:Y106))*(Y77:Y106&lt;LARGE(Y77:Y106,2))*(Y77:Y106&gt;SMALL(Y77:Y106,2)),Y77:Y106)),0)</f>
        <v>7318255</v>
      </c>
      <c r="Z107" s="25" cm="1">
        <f t="array" ref="Z107">ROUND(AVERAGE(IF((ISNUMBER(Z77:Z106))*(Z77:Z106&lt;LARGE(Z77:Z106,2))*(Z77:Z106&gt;SMALL(Z77:Z106,2)),Z77:Z106)),0)</f>
        <v>8029953</v>
      </c>
      <c r="AA107" s="25"/>
      <c r="AB107" s="25"/>
      <c r="AC107" s="25" cm="1">
        <f t="array" ref="AC107">ROUND(AVERAGE(IF((ISNUMBER(AC77:AC106))*(AC77:AC106&lt;LARGE(AC77:AC106,2))*(AC77:AC106&gt;SMALL(AC77:AC106,2)),AC77:AC106)),0)</f>
        <v>752917908</v>
      </c>
      <c r="AD107" s="25" cm="1">
        <f t="array" ref="AD107">ROUND(AVERAGE(IF((ISNUMBER(AD77:AD106))*(AD77:AD106&lt;LARGE(AD77:AD106,2))*(AD77:AD106&gt;SMALL(AD77:AD106,2)),AD77:AD106)),0)</f>
        <v>235411521</v>
      </c>
      <c r="AE107" s="25" cm="1">
        <f t="array" ref="AE107">ROUND(AVERAGE(IF((ISNUMBER(AE77:AE106))*(AE77:AE106&lt;LARGE(AE77:AE106,2))*(AE77:AE106&gt;SMALL(AE77:AE106,2)),AE77:AE106)),0)</f>
        <v>129886392</v>
      </c>
      <c r="AF107" s="25" cm="1">
        <f t="array" ref="AF107">ROUND(AVERAGE(IF((ISNUMBER(AF77:AF106))*(AF77:AF106&lt;LARGE(AF77:AF106,2))*(AF77:AF106&gt;SMALL(AF77:AF106,2)),AF77:AF106)),0)</f>
        <v>141680555</v>
      </c>
      <c r="AG107" s="25" cm="1">
        <f t="array" ref="AG107">ROUND(AVERAGE(IF((ISNUMBER(AG77:AG106))*(AG77:AG106&lt;LARGE(AG77:AG106,2))*(AG77:AG106&gt;SMALL(AG77:AG106,2)),AG77:AG106)),0)</f>
        <v>170113906</v>
      </c>
      <c r="AH107" s="26" cm="1">
        <f t="array" ref="AH107">ROUND(AVERAGE(IF((ISNUMBER(AH77:AH106))*(AH77:AH106&lt;LARGE(AH77:AH106,2))*(AH77:AH106&gt;SMALL(AH77:AH106,2)),AH77:AH106)),0)</f>
        <v>248093885</v>
      </c>
      <c r="AI107" s="21"/>
    </row>
    <row r="108" spans="2:35" ht="15" thickBot="1" x14ac:dyDescent="0.35">
      <c r="B108" s="31"/>
      <c r="C108" s="28"/>
      <c r="D108" s="3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9"/>
    </row>
    <row r="109" spans="2:35" ht="15" thickBot="1" x14ac:dyDescent="0.35">
      <c r="B109" s="32"/>
      <c r="D109" s="1"/>
    </row>
    <row r="110" spans="2:35" ht="36.6" x14ac:dyDescent="0.7">
      <c r="B110" s="33" t="s">
        <v>43</v>
      </c>
      <c r="C110" s="15"/>
      <c r="D110" s="3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7"/>
    </row>
    <row r="111" spans="2:35" ht="15" thickBot="1" x14ac:dyDescent="0.35">
      <c r="B111" s="18"/>
      <c r="C111" s="19"/>
      <c r="D111" s="4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1"/>
    </row>
    <row r="112" spans="2:35" x14ac:dyDescent="0.3">
      <c r="B112" s="22"/>
      <c r="C112" s="44" t="s">
        <v>0</v>
      </c>
      <c r="D112" s="35"/>
      <c r="E112" s="35" t="s">
        <v>1</v>
      </c>
      <c r="F112" s="35" t="s">
        <v>2</v>
      </c>
      <c r="G112" s="35" t="s">
        <v>3</v>
      </c>
      <c r="H112" s="35" t="s">
        <v>4</v>
      </c>
      <c r="I112" s="35" t="s">
        <v>5</v>
      </c>
      <c r="J112" s="35" t="s">
        <v>6</v>
      </c>
      <c r="K112" s="46" t="s">
        <v>7</v>
      </c>
      <c r="L112" s="46"/>
      <c r="M112" s="35" t="s">
        <v>1</v>
      </c>
      <c r="N112" s="35" t="s">
        <v>2</v>
      </c>
      <c r="O112" s="35" t="s">
        <v>3</v>
      </c>
      <c r="P112" s="35" t="s">
        <v>4</v>
      </c>
      <c r="Q112" s="35" t="s">
        <v>5</v>
      </c>
      <c r="R112" s="35" t="s">
        <v>6</v>
      </c>
      <c r="S112" s="46" t="s">
        <v>8</v>
      </c>
      <c r="T112" s="46"/>
      <c r="U112" s="35" t="s">
        <v>1</v>
      </c>
      <c r="V112" s="35" t="s">
        <v>2</v>
      </c>
      <c r="W112" s="35" t="s">
        <v>3</v>
      </c>
      <c r="X112" s="35" t="s">
        <v>4</v>
      </c>
      <c r="Y112" s="35" t="s">
        <v>5</v>
      </c>
      <c r="Z112" s="35" t="s">
        <v>6</v>
      </c>
      <c r="AA112" s="46" t="s">
        <v>9</v>
      </c>
      <c r="AB112" s="46"/>
      <c r="AC112" s="35" t="s">
        <v>1</v>
      </c>
      <c r="AD112" s="35" t="s">
        <v>2</v>
      </c>
      <c r="AE112" s="35" t="s">
        <v>3</v>
      </c>
      <c r="AF112" s="35" t="s">
        <v>4</v>
      </c>
      <c r="AG112" s="35" t="s">
        <v>5</v>
      </c>
      <c r="AH112" s="36" t="s">
        <v>6</v>
      </c>
      <c r="AI112" s="21"/>
    </row>
    <row r="113" spans="2:35" x14ac:dyDescent="0.3">
      <c r="B113" s="22"/>
      <c r="C113" s="23"/>
      <c r="D113" s="42" t="s">
        <v>10</v>
      </c>
      <c r="E113" s="41">
        <v>90689</v>
      </c>
      <c r="F113" s="41">
        <v>47173</v>
      </c>
      <c r="G113" s="41">
        <v>28802</v>
      </c>
      <c r="H113" s="41">
        <v>24064</v>
      </c>
      <c r="I113" s="41">
        <v>16109</v>
      </c>
      <c r="J113" s="41">
        <v>15408</v>
      </c>
      <c r="K113" s="20"/>
      <c r="L113" s="20"/>
      <c r="M113" s="41">
        <v>1069913</v>
      </c>
      <c r="N113" s="41">
        <v>539421</v>
      </c>
      <c r="O113" s="41">
        <v>279329</v>
      </c>
      <c r="P113" s="41">
        <v>202271</v>
      </c>
      <c r="Q113" s="41">
        <v>139685</v>
      </c>
      <c r="R113" s="41">
        <v>126009</v>
      </c>
      <c r="S113" s="20"/>
      <c r="T113" s="20"/>
      <c r="U113" s="41">
        <v>8926429</v>
      </c>
      <c r="V113" s="41">
        <v>4831789</v>
      </c>
      <c r="W113" s="41">
        <v>2281775</v>
      </c>
      <c r="X113" s="41">
        <v>1770317</v>
      </c>
      <c r="Y113" s="41">
        <v>1208765</v>
      </c>
      <c r="Z113" s="41">
        <v>1441871</v>
      </c>
      <c r="AA113" s="20"/>
      <c r="AB113" s="20"/>
      <c r="AC113" s="41">
        <v>64451398</v>
      </c>
      <c r="AD113" s="41">
        <v>34455036</v>
      </c>
      <c r="AE113" s="41">
        <v>20337188</v>
      </c>
      <c r="AF113" s="41">
        <v>15334244</v>
      </c>
      <c r="AG113" s="41">
        <v>10288015</v>
      </c>
      <c r="AH113" s="43">
        <v>20321985</v>
      </c>
      <c r="AI113" s="21"/>
    </row>
    <row r="114" spans="2:35" x14ac:dyDescent="0.3">
      <c r="B114" s="22"/>
      <c r="C114" s="23"/>
      <c r="D114" s="42" t="s">
        <v>11</v>
      </c>
      <c r="E114" s="41">
        <v>91912</v>
      </c>
      <c r="F114" s="41">
        <v>47069</v>
      </c>
      <c r="G114" s="41">
        <v>29652</v>
      </c>
      <c r="H114" s="41">
        <v>23975</v>
      </c>
      <c r="I114" s="41">
        <v>16216</v>
      </c>
      <c r="J114" s="41">
        <v>15127</v>
      </c>
      <c r="K114" s="20"/>
      <c r="L114" s="20"/>
      <c r="M114" s="41">
        <v>1070201</v>
      </c>
      <c r="N114" s="41">
        <v>531606</v>
      </c>
      <c r="O114" s="41">
        <v>278042</v>
      </c>
      <c r="P114" s="41">
        <v>195570</v>
      </c>
      <c r="Q114" s="41">
        <v>139431</v>
      </c>
      <c r="R114" s="41">
        <v>123589</v>
      </c>
      <c r="S114" s="20"/>
      <c r="T114" s="20"/>
      <c r="U114" s="41">
        <v>8927070</v>
      </c>
      <c r="V114" s="41">
        <v>4842587</v>
      </c>
      <c r="W114" s="41">
        <v>2268680</v>
      </c>
      <c r="X114" s="41">
        <v>1775162</v>
      </c>
      <c r="Y114" s="41">
        <v>1209624</v>
      </c>
      <c r="Z114" s="41">
        <v>1490547</v>
      </c>
      <c r="AA114" s="20"/>
      <c r="AB114" s="20"/>
      <c r="AC114" s="41">
        <v>64520953</v>
      </c>
      <c r="AD114" s="41">
        <v>34135762</v>
      </c>
      <c r="AE114" s="41">
        <v>20192623</v>
      </c>
      <c r="AF114" s="41">
        <v>14484539</v>
      </c>
      <c r="AG114" s="41">
        <v>10555242</v>
      </c>
      <c r="AH114" s="43">
        <v>20463455</v>
      </c>
      <c r="AI114" s="21"/>
    </row>
    <row r="115" spans="2:35" x14ac:dyDescent="0.3">
      <c r="B115" s="22"/>
      <c r="C115" s="23"/>
      <c r="D115" s="42" t="s">
        <v>12</v>
      </c>
      <c r="E115" s="41">
        <v>90147</v>
      </c>
      <c r="F115" s="41">
        <v>50466</v>
      </c>
      <c r="G115" s="41">
        <v>28618</v>
      </c>
      <c r="H115" s="41">
        <v>22935</v>
      </c>
      <c r="I115" s="41">
        <v>16043</v>
      </c>
      <c r="J115" s="41">
        <v>15254</v>
      </c>
      <c r="K115" s="20"/>
      <c r="L115" s="20"/>
      <c r="M115" s="41">
        <v>971402</v>
      </c>
      <c r="N115" s="41">
        <v>554553</v>
      </c>
      <c r="O115" s="41">
        <v>286593</v>
      </c>
      <c r="P115" s="41">
        <v>193032</v>
      </c>
      <c r="Q115" s="41">
        <v>142237</v>
      </c>
      <c r="R115" s="41">
        <v>123708</v>
      </c>
      <c r="S115" s="20"/>
      <c r="T115" s="20"/>
      <c r="U115" s="41">
        <v>8914592</v>
      </c>
      <c r="V115" s="41">
        <v>4940809</v>
      </c>
      <c r="W115" s="41">
        <v>2257667</v>
      </c>
      <c r="X115" s="41">
        <v>1775172</v>
      </c>
      <c r="Y115" s="41">
        <v>1218846</v>
      </c>
      <c r="Z115" s="41">
        <v>1321448</v>
      </c>
      <c r="AA115" s="20"/>
      <c r="AB115" s="20"/>
      <c r="AC115" s="41">
        <v>64346210</v>
      </c>
      <c r="AD115" s="41">
        <v>34314967</v>
      </c>
      <c r="AE115" s="41">
        <v>20331804</v>
      </c>
      <c r="AF115" s="41">
        <v>14574284</v>
      </c>
      <c r="AG115" s="41">
        <v>10213102</v>
      </c>
      <c r="AH115" s="43">
        <v>20551798</v>
      </c>
      <c r="AI115" s="21"/>
    </row>
    <row r="116" spans="2:35" x14ac:dyDescent="0.3">
      <c r="B116" s="22"/>
      <c r="C116" s="23"/>
      <c r="D116" s="42" t="s">
        <v>13</v>
      </c>
      <c r="E116" s="41">
        <v>89706</v>
      </c>
      <c r="F116" s="41">
        <v>47828</v>
      </c>
      <c r="G116" s="41">
        <v>35321</v>
      </c>
      <c r="H116" s="41">
        <v>24056</v>
      </c>
      <c r="I116" s="41">
        <v>16092</v>
      </c>
      <c r="J116" s="41">
        <v>13943</v>
      </c>
      <c r="K116" s="20"/>
      <c r="L116" s="20"/>
      <c r="M116" s="41">
        <v>1017953</v>
      </c>
      <c r="N116" s="41">
        <v>531787</v>
      </c>
      <c r="O116" s="41">
        <v>278542</v>
      </c>
      <c r="P116" s="41">
        <v>196569</v>
      </c>
      <c r="Q116" s="41">
        <v>138037</v>
      </c>
      <c r="R116" s="41">
        <v>130164</v>
      </c>
      <c r="S116" s="20"/>
      <c r="T116" s="20"/>
      <c r="U116" s="41">
        <v>8919160</v>
      </c>
      <c r="V116" s="41">
        <v>4863410</v>
      </c>
      <c r="W116" s="41">
        <v>2272986</v>
      </c>
      <c r="X116" s="41">
        <v>1768323</v>
      </c>
      <c r="Y116" s="41">
        <v>1216830</v>
      </c>
      <c r="Z116" s="41">
        <v>1483852</v>
      </c>
      <c r="AA116" s="20"/>
      <c r="AB116" s="20"/>
      <c r="AC116" s="41">
        <v>64469900</v>
      </c>
      <c r="AD116" s="41">
        <v>34029668</v>
      </c>
      <c r="AE116" s="41">
        <v>20253787</v>
      </c>
      <c r="AF116" s="41">
        <v>14488022</v>
      </c>
      <c r="AG116" s="41">
        <v>10258486</v>
      </c>
      <c r="AH116" s="43">
        <v>20709694</v>
      </c>
      <c r="AI116" s="21"/>
    </row>
    <row r="117" spans="2:35" x14ac:dyDescent="0.3">
      <c r="B117" s="22"/>
      <c r="C117" s="23"/>
      <c r="D117" s="42" t="s">
        <v>14</v>
      </c>
      <c r="E117" s="41">
        <v>89971</v>
      </c>
      <c r="F117" s="41">
        <v>51715</v>
      </c>
      <c r="G117" s="41">
        <v>28885</v>
      </c>
      <c r="H117" s="41">
        <v>21528</v>
      </c>
      <c r="I117" s="41">
        <v>13216</v>
      </c>
      <c r="J117" s="41">
        <v>14349</v>
      </c>
      <c r="K117" s="20"/>
      <c r="L117" s="20"/>
      <c r="M117" s="41">
        <v>961749</v>
      </c>
      <c r="N117" s="41">
        <v>529158</v>
      </c>
      <c r="O117" s="41">
        <v>281835</v>
      </c>
      <c r="P117" s="41">
        <v>197838</v>
      </c>
      <c r="Q117" s="41">
        <v>139345</v>
      </c>
      <c r="R117" s="41">
        <v>121994</v>
      </c>
      <c r="S117" s="20"/>
      <c r="T117" s="20"/>
      <c r="U117" s="41">
        <v>8927973</v>
      </c>
      <c r="V117" s="41">
        <v>4909256</v>
      </c>
      <c r="W117" s="41">
        <v>2260338</v>
      </c>
      <c r="X117" s="41">
        <v>1772372</v>
      </c>
      <c r="Y117" s="41">
        <v>1216891</v>
      </c>
      <c r="Z117" s="41">
        <v>1386645</v>
      </c>
      <c r="AA117" s="20"/>
      <c r="AB117" s="20"/>
      <c r="AC117" s="41">
        <v>64442068</v>
      </c>
      <c r="AD117" s="41">
        <v>34286301</v>
      </c>
      <c r="AE117" s="41">
        <v>20326685</v>
      </c>
      <c r="AF117" s="41">
        <v>14588710</v>
      </c>
      <c r="AG117" s="41">
        <v>10096145</v>
      </c>
      <c r="AH117" s="43">
        <v>20342366</v>
      </c>
      <c r="AI117" s="21"/>
    </row>
    <row r="118" spans="2:35" x14ac:dyDescent="0.3">
      <c r="B118" s="22"/>
      <c r="C118" s="23"/>
      <c r="D118" s="42" t="s">
        <v>15</v>
      </c>
      <c r="E118" s="41">
        <v>92104</v>
      </c>
      <c r="F118" s="41">
        <v>47828</v>
      </c>
      <c r="G118" s="41">
        <v>34951</v>
      </c>
      <c r="H118" s="41">
        <v>24006</v>
      </c>
      <c r="I118" s="41">
        <v>16208</v>
      </c>
      <c r="J118" s="41">
        <v>15557</v>
      </c>
      <c r="K118" s="20"/>
      <c r="L118" s="20"/>
      <c r="M118" s="41">
        <v>967921</v>
      </c>
      <c r="N118" s="41">
        <v>532136</v>
      </c>
      <c r="O118" s="41">
        <v>285770</v>
      </c>
      <c r="P118" s="41">
        <v>198283</v>
      </c>
      <c r="Q118" s="41">
        <v>138569</v>
      </c>
      <c r="R118" s="41">
        <v>120257</v>
      </c>
      <c r="S118" s="20"/>
      <c r="T118" s="20"/>
      <c r="U118" s="41">
        <v>9172162</v>
      </c>
      <c r="V118" s="41">
        <v>4854328</v>
      </c>
      <c r="W118" s="41">
        <v>2248090</v>
      </c>
      <c r="X118" s="41">
        <v>1763566</v>
      </c>
      <c r="Y118" s="41">
        <v>1219280</v>
      </c>
      <c r="Z118" s="41">
        <v>1403436</v>
      </c>
      <c r="AA118" s="20"/>
      <c r="AB118" s="20"/>
      <c r="AC118" s="41">
        <v>64433078</v>
      </c>
      <c r="AD118" s="41">
        <v>34485765</v>
      </c>
      <c r="AE118" s="41">
        <v>20366773</v>
      </c>
      <c r="AF118" s="41">
        <v>14569780</v>
      </c>
      <c r="AG118" s="41">
        <v>10312376</v>
      </c>
      <c r="AH118" s="43">
        <v>16760299</v>
      </c>
      <c r="AI118" s="21"/>
    </row>
    <row r="119" spans="2:35" x14ac:dyDescent="0.3">
      <c r="B119" s="22"/>
      <c r="C119" s="23"/>
      <c r="D119" s="42" t="s">
        <v>16</v>
      </c>
      <c r="E119" s="41">
        <v>93487</v>
      </c>
      <c r="F119" s="41">
        <v>47604</v>
      </c>
      <c r="G119" s="41">
        <v>35196</v>
      </c>
      <c r="H119" s="41">
        <v>24073</v>
      </c>
      <c r="I119" s="41">
        <v>16191</v>
      </c>
      <c r="J119" s="41">
        <v>15270</v>
      </c>
      <c r="K119" s="20"/>
      <c r="L119" s="20"/>
      <c r="M119" s="41">
        <v>970690</v>
      </c>
      <c r="N119" s="41">
        <v>525409</v>
      </c>
      <c r="O119" s="41">
        <v>286967</v>
      </c>
      <c r="P119" s="41">
        <v>196902</v>
      </c>
      <c r="Q119" s="41">
        <v>138452</v>
      </c>
      <c r="R119" s="41">
        <v>123385</v>
      </c>
      <c r="S119" s="20"/>
      <c r="T119" s="20"/>
      <c r="U119" s="41">
        <v>8919228</v>
      </c>
      <c r="V119" s="41">
        <v>4765507</v>
      </c>
      <c r="W119" s="41">
        <v>2283264</v>
      </c>
      <c r="X119" s="41">
        <v>1761763</v>
      </c>
      <c r="Y119" s="41">
        <v>1211359</v>
      </c>
      <c r="Z119" s="41">
        <v>1431322</v>
      </c>
      <c r="AA119" s="20"/>
      <c r="AB119" s="20"/>
      <c r="AC119" s="41">
        <v>64297797</v>
      </c>
      <c r="AD119" s="41">
        <v>34033347</v>
      </c>
      <c r="AE119" s="41">
        <v>20302493</v>
      </c>
      <c r="AF119" s="41">
        <v>14831703</v>
      </c>
      <c r="AG119" s="41">
        <v>10109935</v>
      </c>
      <c r="AH119" s="43">
        <v>17006588</v>
      </c>
      <c r="AI119" s="21"/>
    </row>
    <row r="120" spans="2:35" x14ac:dyDescent="0.3">
      <c r="B120" s="22"/>
      <c r="C120" s="23"/>
      <c r="D120" s="42" t="s">
        <v>17</v>
      </c>
      <c r="E120" s="41">
        <v>91350</v>
      </c>
      <c r="F120" s="41">
        <v>51502</v>
      </c>
      <c r="G120" s="41">
        <v>34881</v>
      </c>
      <c r="H120" s="41">
        <v>22655</v>
      </c>
      <c r="I120" s="41">
        <v>16126</v>
      </c>
      <c r="J120" s="41">
        <v>14719</v>
      </c>
      <c r="K120" s="20"/>
      <c r="L120" s="20"/>
      <c r="M120" s="41">
        <v>1063761</v>
      </c>
      <c r="N120" s="41">
        <v>538695</v>
      </c>
      <c r="O120" s="41">
        <v>280925</v>
      </c>
      <c r="P120" s="41">
        <v>202640</v>
      </c>
      <c r="Q120" s="41">
        <v>138253</v>
      </c>
      <c r="R120" s="41">
        <v>125148</v>
      </c>
      <c r="S120" s="20"/>
      <c r="T120" s="20"/>
      <c r="U120" s="41">
        <v>9110098</v>
      </c>
      <c r="V120" s="41">
        <v>4749006</v>
      </c>
      <c r="W120" s="41">
        <v>2282103</v>
      </c>
      <c r="X120" s="41">
        <v>1753126</v>
      </c>
      <c r="Y120" s="41">
        <v>1212137</v>
      </c>
      <c r="Z120" s="41">
        <v>1417185</v>
      </c>
      <c r="AA120" s="20"/>
      <c r="AB120" s="20"/>
      <c r="AC120" s="41">
        <v>64602141</v>
      </c>
      <c r="AD120" s="41">
        <v>34560549</v>
      </c>
      <c r="AE120" s="41">
        <v>20398311</v>
      </c>
      <c r="AF120" s="41">
        <v>14593205</v>
      </c>
      <c r="AG120" s="41">
        <v>10287639</v>
      </c>
      <c r="AH120" s="43">
        <v>16882319</v>
      </c>
      <c r="AI120" s="21"/>
    </row>
    <row r="121" spans="2:35" x14ac:dyDescent="0.3">
      <c r="B121" s="22"/>
      <c r="C121" s="23"/>
      <c r="D121" s="42" t="s">
        <v>18</v>
      </c>
      <c r="E121" s="41">
        <v>92125</v>
      </c>
      <c r="F121" s="41">
        <v>48776</v>
      </c>
      <c r="G121" s="41">
        <v>35115</v>
      </c>
      <c r="H121" s="41">
        <v>21035</v>
      </c>
      <c r="I121" s="41">
        <v>16136</v>
      </c>
      <c r="J121" s="41">
        <v>16157</v>
      </c>
      <c r="K121" s="20"/>
      <c r="L121" s="20"/>
      <c r="M121" s="41">
        <v>1068393</v>
      </c>
      <c r="N121" s="41">
        <v>524742</v>
      </c>
      <c r="O121" s="41">
        <v>283102</v>
      </c>
      <c r="P121" s="41">
        <v>197799</v>
      </c>
      <c r="Q121" s="41">
        <v>140673</v>
      </c>
      <c r="R121" s="41">
        <v>128296</v>
      </c>
      <c r="S121" s="20"/>
      <c r="T121" s="20"/>
      <c r="U121" s="41">
        <v>9302989</v>
      </c>
      <c r="V121" s="41">
        <v>4801028</v>
      </c>
      <c r="W121" s="41">
        <v>2268592</v>
      </c>
      <c r="X121" s="41">
        <v>1747700</v>
      </c>
      <c r="Y121" s="41">
        <v>1211645</v>
      </c>
      <c r="Z121" s="41">
        <v>1460494</v>
      </c>
      <c r="AA121" s="20"/>
      <c r="AB121" s="20"/>
      <c r="AC121" s="41">
        <v>64269445</v>
      </c>
      <c r="AD121" s="41">
        <v>34384964</v>
      </c>
      <c r="AE121" s="41">
        <v>20287723</v>
      </c>
      <c r="AF121" s="41">
        <v>14616720</v>
      </c>
      <c r="AG121" s="41">
        <v>10158336</v>
      </c>
      <c r="AH121" s="43">
        <v>16744119</v>
      </c>
      <c r="AI121" s="21"/>
    </row>
    <row r="122" spans="2:35" x14ac:dyDescent="0.3">
      <c r="B122" s="22"/>
      <c r="C122" s="23"/>
      <c r="D122" s="42" t="s">
        <v>19</v>
      </c>
      <c r="E122" s="41">
        <v>90426</v>
      </c>
      <c r="F122" s="41">
        <v>52087</v>
      </c>
      <c r="G122" s="41">
        <v>35546</v>
      </c>
      <c r="H122" s="41">
        <v>23160</v>
      </c>
      <c r="I122" s="41">
        <v>16130</v>
      </c>
      <c r="J122" s="41">
        <v>16068</v>
      </c>
      <c r="K122" s="20"/>
      <c r="L122" s="20"/>
      <c r="M122" s="41">
        <v>966296</v>
      </c>
      <c r="N122" s="41">
        <v>528342</v>
      </c>
      <c r="O122" s="41">
        <v>292726</v>
      </c>
      <c r="P122" s="41">
        <v>199001</v>
      </c>
      <c r="Q122" s="41">
        <v>140040</v>
      </c>
      <c r="R122" s="41">
        <v>119535</v>
      </c>
      <c r="S122" s="20"/>
      <c r="T122" s="20"/>
      <c r="U122" s="41">
        <v>9244927</v>
      </c>
      <c r="V122" s="41">
        <v>4886460</v>
      </c>
      <c r="W122" s="41">
        <v>2297126</v>
      </c>
      <c r="X122" s="41">
        <v>1781784</v>
      </c>
      <c r="Y122" s="41">
        <v>1213830</v>
      </c>
      <c r="Z122" s="41">
        <v>1428906</v>
      </c>
      <c r="AA122" s="20"/>
      <c r="AB122" s="20"/>
      <c r="AC122" s="41">
        <v>64296833</v>
      </c>
      <c r="AD122" s="41">
        <v>34497328</v>
      </c>
      <c r="AE122" s="41">
        <v>20281465</v>
      </c>
      <c r="AF122" s="41">
        <v>14632717</v>
      </c>
      <c r="AG122" s="41">
        <v>12335934</v>
      </c>
      <c r="AH122" s="43">
        <v>17064669</v>
      </c>
      <c r="AI122" s="21"/>
    </row>
    <row r="123" spans="2:35" x14ac:dyDescent="0.3">
      <c r="B123" s="22"/>
      <c r="C123" s="23"/>
      <c r="D123" s="42" t="s">
        <v>20</v>
      </c>
      <c r="E123" s="41">
        <v>93415</v>
      </c>
      <c r="F123" s="41">
        <v>46399</v>
      </c>
      <c r="G123" s="41">
        <v>34469</v>
      </c>
      <c r="H123" s="41">
        <v>24226</v>
      </c>
      <c r="I123" s="41">
        <v>16234</v>
      </c>
      <c r="J123" s="41">
        <v>16695</v>
      </c>
      <c r="K123" s="20"/>
      <c r="L123" s="20"/>
      <c r="M123" s="41">
        <v>1039739</v>
      </c>
      <c r="N123" s="41">
        <v>548355</v>
      </c>
      <c r="O123" s="41">
        <v>283825</v>
      </c>
      <c r="P123" s="41">
        <v>194428</v>
      </c>
      <c r="Q123" s="41">
        <v>141629</v>
      </c>
      <c r="R123" s="41">
        <v>130136</v>
      </c>
      <c r="S123" s="20"/>
      <c r="T123" s="20"/>
      <c r="U123" s="41">
        <v>8917970</v>
      </c>
      <c r="V123" s="41">
        <v>4804093</v>
      </c>
      <c r="W123" s="41">
        <v>2261663</v>
      </c>
      <c r="X123" s="41">
        <v>1812060</v>
      </c>
      <c r="Y123" s="41">
        <v>1218779</v>
      </c>
      <c r="Z123" s="41">
        <v>1445806</v>
      </c>
      <c r="AA123" s="20"/>
      <c r="AB123" s="20"/>
      <c r="AC123" s="41">
        <v>64538647</v>
      </c>
      <c r="AD123" s="41">
        <v>34603963</v>
      </c>
      <c r="AE123" s="41">
        <v>17464099</v>
      </c>
      <c r="AF123" s="41">
        <v>14552669</v>
      </c>
      <c r="AG123" s="41">
        <v>11775030</v>
      </c>
      <c r="AH123" s="43">
        <v>17175515</v>
      </c>
      <c r="AI123" s="21"/>
    </row>
    <row r="124" spans="2:35" x14ac:dyDescent="0.3">
      <c r="B124" s="22"/>
      <c r="C124" s="23"/>
      <c r="D124" s="42" t="s">
        <v>21</v>
      </c>
      <c r="E124" s="41">
        <v>90148</v>
      </c>
      <c r="F124" s="41">
        <v>47305</v>
      </c>
      <c r="G124" s="41">
        <v>35512</v>
      </c>
      <c r="H124" s="41">
        <v>23984</v>
      </c>
      <c r="I124" s="41">
        <v>16210</v>
      </c>
      <c r="J124" s="41">
        <v>13140</v>
      </c>
      <c r="K124" s="20"/>
      <c r="L124" s="20"/>
      <c r="M124" s="41">
        <v>985091</v>
      </c>
      <c r="N124" s="41">
        <v>527696</v>
      </c>
      <c r="O124" s="41">
        <v>285851</v>
      </c>
      <c r="P124" s="41">
        <v>215237</v>
      </c>
      <c r="Q124" s="41">
        <v>140669</v>
      </c>
      <c r="R124" s="41">
        <v>122310</v>
      </c>
      <c r="S124" s="20"/>
      <c r="T124" s="20"/>
      <c r="U124" s="41">
        <v>9158053</v>
      </c>
      <c r="V124" s="41">
        <v>4923025</v>
      </c>
      <c r="W124" s="41">
        <v>2278317</v>
      </c>
      <c r="X124" s="41">
        <v>1773724</v>
      </c>
      <c r="Y124" s="41">
        <v>1205887</v>
      </c>
      <c r="Z124" s="41">
        <v>1436859</v>
      </c>
      <c r="AA124" s="20"/>
      <c r="AB124" s="20"/>
      <c r="AC124" s="41">
        <v>64580456</v>
      </c>
      <c r="AD124" s="41">
        <v>34347257</v>
      </c>
      <c r="AE124" s="41">
        <v>17361995</v>
      </c>
      <c r="AF124" s="41">
        <v>14559778</v>
      </c>
      <c r="AG124" s="41">
        <v>11841492</v>
      </c>
      <c r="AH124" s="43">
        <v>16396138</v>
      </c>
      <c r="AI124" s="21"/>
    </row>
    <row r="125" spans="2:35" x14ac:dyDescent="0.3">
      <c r="B125" s="22"/>
      <c r="C125" s="23"/>
      <c r="D125" s="42" t="s">
        <v>22</v>
      </c>
      <c r="E125" s="41">
        <v>93185</v>
      </c>
      <c r="F125" s="41">
        <v>50121</v>
      </c>
      <c r="G125" s="41">
        <v>28742</v>
      </c>
      <c r="H125" s="41">
        <v>24041</v>
      </c>
      <c r="I125" s="41">
        <v>16303</v>
      </c>
      <c r="J125" s="41">
        <v>15166</v>
      </c>
      <c r="K125" s="20"/>
      <c r="L125" s="20"/>
      <c r="M125" s="41">
        <v>963290</v>
      </c>
      <c r="N125" s="41">
        <v>534619</v>
      </c>
      <c r="O125" s="41">
        <v>286674</v>
      </c>
      <c r="P125" s="41">
        <v>193732</v>
      </c>
      <c r="Q125" s="41">
        <v>138945</v>
      </c>
      <c r="R125" s="41">
        <v>122921</v>
      </c>
      <c r="S125" s="20"/>
      <c r="T125" s="20"/>
      <c r="U125" s="41">
        <v>8929081</v>
      </c>
      <c r="V125" s="41">
        <v>4888415</v>
      </c>
      <c r="W125" s="41">
        <v>2271986</v>
      </c>
      <c r="X125" s="41">
        <v>1778553</v>
      </c>
      <c r="Y125" s="41">
        <v>1207574</v>
      </c>
      <c r="Z125" s="41">
        <v>1449998</v>
      </c>
      <c r="AA125" s="20"/>
      <c r="AB125" s="20"/>
      <c r="AC125" s="41">
        <v>64474422</v>
      </c>
      <c r="AD125" s="41">
        <v>34306664</v>
      </c>
      <c r="AE125" s="41">
        <v>17415066</v>
      </c>
      <c r="AF125" s="41">
        <v>14774347</v>
      </c>
      <c r="AG125" s="41">
        <v>12165019</v>
      </c>
      <c r="AH125" s="43">
        <v>17166121</v>
      </c>
      <c r="AI125" s="21"/>
    </row>
    <row r="126" spans="2:35" x14ac:dyDescent="0.3">
      <c r="B126" s="22"/>
      <c r="C126" s="23"/>
      <c r="D126" s="42" t="s">
        <v>23</v>
      </c>
      <c r="E126" s="41">
        <v>91582</v>
      </c>
      <c r="F126" s="41">
        <v>49976</v>
      </c>
      <c r="G126" s="41">
        <v>35102</v>
      </c>
      <c r="H126" s="41">
        <v>22385</v>
      </c>
      <c r="I126" s="41">
        <v>16264</v>
      </c>
      <c r="J126" s="41">
        <v>14984</v>
      </c>
      <c r="K126" s="20"/>
      <c r="L126" s="20"/>
      <c r="M126" s="41">
        <v>1064625</v>
      </c>
      <c r="N126" s="41">
        <v>560746</v>
      </c>
      <c r="O126" s="41">
        <v>287736</v>
      </c>
      <c r="P126" s="41">
        <v>197007</v>
      </c>
      <c r="Q126" s="41">
        <v>131776</v>
      </c>
      <c r="R126" s="41">
        <v>129796</v>
      </c>
      <c r="S126" s="20"/>
      <c r="T126" s="20"/>
      <c r="U126" s="41">
        <v>8927505</v>
      </c>
      <c r="V126" s="41">
        <v>4898140</v>
      </c>
      <c r="W126" s="41">
        <v>2264547</v>
      </c>
      <c r="X126" s="41">
        <v>1784300</v>
      </c>
      <c r="Y126" s="41">
        <v>1211298</v>
      </c>
      <c r="Z126" s="41">
        <v>1427299</v>
      </c>
      <c r="AA126" s="20"/>
      <c r="AB126" s="20"/>
      <c r="AC126" s="41">
        <v>64348165</v>
      </c>
      <c r="AD126" s="41">
        <v>34523715</v>
      </c>
      <c r="AE126" s="41">
        <v>17384012</v>
      </c>
      <c r="AF126" s="41">
        <v>14636309</v>
      </c>
      <c r="AG126" s="41">
        <v>11930537</v>
      </c>
      <c r="AH126" s="43">
        <v>17271477</v>
      </c>
      <c r="AI126" s="21"/>
    </row>
    <row r="127" spans="2:35" x14ac:dyDescent="0.3">
      <c r="B127" s="22"/>
      <c r="C127" s="23"/>
      <c r="D127" s="42" t="s">
        <v>24</v>
      </c>
      <c r="E127" s="41">
        <v>89692</v>
      </c>
      <c r="F127" s="41">
        <v>48110</v>
      </c>
      <c r="G127" s="41">
        <v>30472</v>
      </c>
      <c r="H127" s="41">
        <v>24088</v>
      </c>
      <c r="I127" s="41">
        <v>16277</v>
      </c>
      <c r="J127" s="41">
        <v>14801</v>
      </c>
      <c r="K127" s="20"/>
      <c r="L127" s="20"/>
      <c r="M127" s="41">
        <v>991263</v>
      </c>
      <c r="N127" s="41">
        <v>528856</v>
      </c>
      <c r="O127" s="41">
        <v>279357</v>
      </c>
      <c r="P127" s="41">
        <v>198957</v>
      </c>
      <c r="Q127" s="41">
        <v>140481</v>
      </c>
      <c r="R127" s="41">
        <v>124108</v>
      </c>
      <c r="S127" s="20"/>
      <c r="T127" s="20"/>
      <c r="U127" s="41">
        <v>9145418</v>
      </c>
      <c r="V127" s="41">
        <v>5049649</v>
      </c>
      <c r="W127" s="41">
        <v>2259567</v>
      </c>
      <c r="X127" s="41">
        <v>1771376</v>
      </c>
      <c r="Y127" s="41">
        <v>1217024</v>
      </c>
      <c r="Z127" s="41">
        <v>1427023</v>
      </c>
      <c r="AA127" s="20"/>
      <c r="AB127" s="20"/>
      <c r="AC127" s="41">
        <v>64473030</v>
      </c>
      <c r="AD127" s="41">
        <v>34238360</v>
      </c>
      <c r="AE127" s="41">
        <v>17350506</v>
      </c>
      <c r="AF127" s="41">
        <v>14599375</v>
      </c>
      <c r="AG127" s="41">
        <v>10387729</v>
      </c>
      <c r="AH127" s="43">
        <v>16932774</v>
      </c>
      <c r="AI127" s="21"/>
    </row>
    <row r="128" spans="2:35" x14ac:dyDescent="0.3">
      <c r="B128" s="22"/>
      <c r="C128" s="23"/>
      <c r="D128" s="42" t="s">
        <v>25</v>
      </c>
      <c r="E128" s="41">
        <v>91040</v>
      </c>
      <c r="F128" s="41">
        <v>50062</v>
      </c>
      <c r="G128" s="41">
        <v>35345</v>
      </c>
      <c r="H128" s="41">
        <v>23971</v>
      </c>
      <c r="I128" s="41">
        <v>16148</v>
      </c>
      <c r="J128" s="41">
        <v>15082</v>
      </c>
      <c r="K128" s="20"/>
      <c r="L128" s="20"/>
      <c r="M128" s="41">
        <v>960290</v>
      </c>
      <c r="N128" s="41">
        <v>532632</v>
      </c>
      <c r="O128" s="41">
        <v>281749</v>
      </c>
      <c r="P128" s="41">
        <v>206950</v>
      </c>
      <c r="Q128" s="41">
        <v>141045</v>
      </c>
      <c r="R128" s="41">
        <v>124571</v>
      </c>
      <c r="S128" s="20"/>
      <c r="T128" s="20"/>
      <c r="U128" s="41">
        <v>8936199</v>
      </c>
      <c r="V128" s="41">
        <v>4912091</v>
      </c>
      <c r="W128" s="41">
        <v>2274621</v>
      </c>
      <c r="X128" s="41">
        <v>1772189</v>
      </c>
      <c r="Y128" s="41">
        <v>1211471</v>
      </c>
      <c r="Z128" s="41">
        <v>1499575</v>
      </c>
      <c r="AA128" s="20"/>
      <c r="AB128" s="20"/>
      <c r="AC128" s="41">
        <v>64312283</v>
      </c>
      <c r="AD128" s="41">
        <v>34159105</v>
      </c>
      <c r="AE128" s="41">
        <v>17369282</v>
      </c>
      <c r="AF128" s="41">
        <v>14609393</v>
      </c>
      <c r="AG128" s="41">
        <v>10169390</v>
      </c>
      <c r="AH128" s="43">
        <v>17195542</v>
      </c>
      <c r="AI128" s="21"/>
    </row>
    <row r="129" spans="2:35" x14ac:dyDescent="0.3">
      <c r="B129" s="22"/>
      <c r="C129" s="23"/>
      <c r="D129" s="42" t="s">
        <v>26</v>
      </c>
      <c r="E129" s="41">
        <v>90134</v>
      </c>
      <c r="F129" s="41">
        <v>48673</v>
      </c>
      <c r="G129" s="41">
        <v>30649</v>
      </c>
      <c r="H129" s="41">
        <v>23325</v>
      </c>
      <c r="I129" s="41">
        <v>16213</v>
      </c>
      <c r="J129" s="41">
        <v>15156</v>
      </c>
      <c r="K129" s="20"/>
      <c r="L129" s="20"/>
      <c r="M129" s="41">
        <v>974839</v>
      </c>
      <c r="N129" s="41">
        <v>530313</v>
      </c>
      <c r="O129" s="41">
        <v>287679</v>
      </c>
      <c r="P129" s="41">
        <v>197299</v>
      </c>
      <c r="Q129" s="41">
        <v>133581</v>
      </c>
      <c r="R129" s="41">
        <v>125155</v>
      </c>
      <c r="S129" s="20"/>
      <c r="T129" s="20"/>
      <c r="U129" s="41">
        <v>8915550</v>
      </c>
      <c r="V129" s="41">
        <v>4671064</v>
      </c>
      <c r="W129" s="41">
        <v>2260153</v>
      </c>
      <c r="X129" s="41">
        <v>1764192</v>
      </c>
      <c r="Y129" s="41">
        <v>1210337</v>
      </c>
      <c r="Z129" s="41">
        <v>1477410</v>
      </c>
      <c r="AA129" s="20"/>
      <c r="AB129" s="20"/>
      <c r="AC129" s="41">
        <v>64470861</v>
      </c>
      <c r="AD129" s="41">
        <v>34244402</v>
      </c>
      <c r="AE129" s="41">
        <v>17381558</v>
      </c>
      <c r="AF129" s="41">
        <v>14627608</v>
      </c>
      <c r="AG129" s="41">
        <v>11695503</v>
      </c>
      <c r="AH129" s="43">
        <v>16615862</v>
      </c>
      <c r="AI129" s="21"/>
    </row>
    <row r="130" spans="2:35" x14ac:dyDescent="0.3">
      <c r="B130" s="22"/>
      <c r="C130" s="23"/>
      <c r="D130" s="42" t="s">
        <v>27</v>
      </c>
      <c r="E130" s="41">
        <v>89892</v>
      </c>
      <c r="F130" s="41">
        <v>47523</v>
      </c>
      <c r="G130" s="41">
        <v>35045</v>
      </c>
      <c r="H130" s="41">
        <v>24113</v>
      </c>
      <c r="I130" s="41">
        <v>16043</v>
      </c>
      <c r="J130" s="41">
        <v>12900</v>
      </c>
      <c r="K130" s="20"/>
      <c r="L130" s="20"/>
      <c r="M130" s="41">
        <v>966208</v>
      </c>
      <c r="N130" s="41">
        <v>547244</v>
      </c>
      <c r="O130" s="41">
        <v>284941</v>
      </c>
      <c r="P130" s="41">
        <v>198208</v>
      </c>
      <c r="Q130" s="41">
        <v>137257</v>
      </c>
      <c r="R130" s="41">
        <v>125630</v>
      </c>
      <c r="S130" s="20"/>
      <c r="T130" s="20"/>
      <c r="U130" s="41">
        <v>8913936</v>
      </c>
      <c r="V130" s="41">
        <v>4867569</v>
      </c>
      <c r="W130" s="41">
        <v>2263288</v>
      </c>
      <c r="X130" s="41">
        <v>1771304</v>
      </c>
      <c r="Y130" s="41">
        <v>1226386</v>
      </c>
      <c r="Z130" s="41">
        <v>1472374</v>
      </c>
      <c r="AA130" s="20"/>
      <c r="AB130" s="20"/>
      <c r="AC130" s="41">
        <v>64540432</v>
      </c>
      <c r="AD130" s="41">
        <v>34518723</v>
      </c>
      <c r="AE130" s="41">
        <v>17306858</v>
      </c>
      <c r="AF130" s="41">
        <v>14664735</v>
      </c>
      <c r="AG130" s="41">
        <v>11822699</v>
      </c>
      <c r="AH130" s="43">
        <v>16749194</v>
      </c>
      <c r="AI130" s="21"/>
    </row>
    <row r="131" spans="2:35" x14ac:dyDescent="0.3">
      <c r="B131" s="22"/>
      <c r="C131" s="23"/>
      <c r="D131" s="42" t="s">
        <v>28</v>
      </c>
      <c r="E131" s="41">
        <v>90353</v>
      </c>
      <c r="F131" s="41">
        <v>52042</v>
      </c>
      <c r="G131" s="41">
        <v>26939</v>
      </c>
      <c r="H131" s="41">
        <v>23401</v>
      </c>
      <c r="I131" s="41">
        <v>16245</v>
      </c>
      <c r="J131" s="41">
        <v>15733</v>
      </c>
      <c r="K131" s="20"/>
      <c r="L131" s="20"/>
      <c r="M131" s="41">
        <v>971131</v>
      </c>
      <c r="N131" s="41">
        <v>569208</v>
      </c>
      <c r="O131" s="41">
        <v>279775</v>
      </c>
      <c r="P131" s="41">
        <v>192313</v>
      </c>
      <c r="Q131" s="41">
        <v>138912</v>
      </c>
      <c r="R131" s="41">
        <v>126722</v>
      </c>
      <c r="S131" s="20"/>
      <c r="T131" s="20"/>
      <c r="U131" s="41">
        <v>8953164</v>
      </c>
      <c r="V131" s="41">
        <v>4900216</v>
      </c>
      <c r="W131" s="41">
        <v>2268634</v>
      </c>
      <c r="X131" s="41">
        <v>1763849</v>
      </c>
      <c r="Y131" s="41">
        <v>1206115</v>
      </c>
      <c r="Z131" s="41">
        <v>1449657</v>
      </c>
      <c r="AA131" s="20"/>
      <c r="AB131" s="20"/>
      <c r="AC131" s="41">
        <v>64330177</v>
      </c>
      <c r="AD131" s="41">
        <v>34329302</v>
      </c>
      <c r="AE131" s="41">
        <v>17397464</v>
      </c>
      <c r="AF131" s="41">
        <v>14635688</v>
      </c>
      <c r="AG131" s="41">
        <v>12121130</v>
      </c>
      <c r="AH131" s="43">
        <v>17091188</v>
      </c>
      <c r="AI131" s="21"/>
    </row>
    <row r="132" spans="2:35" x14ac:dyDescent="0.3">
      <c r="B132" s="22"/>
      <c r="C132" s="23"/>
      <c r="D132" s="42" t="s">
        <v>29</v>
      </c>
      <c r="E132" s="41">
        <v>90028</v>
      </c>
      <c r="F132" s="41">
        <v>48428</v>
      </c>
      <c r="G132" s="41">
        <v>28854</v>
      </c>
      <c r="H132" s="41">
        <v>24126</v>
      </c>
      <c r="I132" s="41">
        <v>15078</v>
      </c>
      <c r="J132" s="41">
        <v>17040</v>
      </c>
      <c r="K132" s="20"/>
      <c r="L132" s="20"/>
      <c r="M132" s="41">
        <v>967602</v>
      </c>
      <c r="N132" s="41">
        <v>529599</v>
      </c>
      <c r="O132" s="41">
        <v>289855</v>
      </c>
      <c r="P132" s="41">
        <v>192473</v>
      </c>
      <c r="Q132" s="41">
        <v>138491</v>
      </c>
      <c r="R132" s="41">
        <v>118758</v>
      </c>
      <c r="S132" s="20"/>
      <c r="T132" s="20"/>
      <c r="U132" s="41">
        <v>8910350</v>
      </c>
      <c r="V132" s="41">
        <v>4783787</v>
      </c>
      <c r="W132" s="41">
        <v>2249739</v>
      </c>
      <c r="X132" s="41">
        <v>1772577</v>
      </c>
      <c r="Y132" s="41">
        <v>1219271</v>
      </c>
      <c r="Z132" s="41">
        <v>1483045</v>
      </c>
      <c r="AA132" s="20"/>
      <c r="AB132" s="20"/>
      <c r="AC132" s="41">
        <v>64909003</v>
      </c>
      <c r="AD132" s="41">
        <v>34604262</v>
      </c>
      <c r="AE132" s="41">
        <v>17379967</v>
      </c>
      <c r="AF132" s="41">
        <v>15374367</v>
      </c>
      <c r="AG132" s="41">
        <v>10500225</v>
      </c>
      <c r="AH132" s="43">
        <v>17319424</v>
      </c>
      <c r="AI132" s="21"/>
    </row>
    <row r="133" spans="2:35" x14ac:dyDescent="0.3">
      <c r="B133" s="22"/>
      <c r="C133" s="23"/>
      <c r="D133" s="42" t="s">
        <v>30</v>
      </c>
      <c r="E133" s="41">
        <v>89742</v>
      </c>
      <c r="F133" s="41">
        <v>46644</v>
      </c>
      <c r="G133" s="41">
        <v>31751</v>
      </c>
      <c r="H133" s="41">
        <v>24084</v>
      </c>
      <c r="I133" s="41">
        <v>13787</v>
      </c>
      <c r="J133" s="41">
        <v>15714</v>
      </c>
      <c r="K133" s="20"/>
      <c r="L133" s="20"/>
      <c r="M133" s="41">
        <v>972474</v>
      </c>
      <c r="N133" s="41">
        <v>585818</v>
      </c>
      <c r="O133" s="41">
        <v>281741</v>
      </c>
      <c r="P133" s="41">
        <v>201661</v>
      </c>
      <c r="Q133" s="41">
        <v>144698</v>
      </c>
      <c r="R133" s="41">
        <v>127905</v>
      </c>
      <c r="S133" s="20"/>
      <c r="T133" s="20"/>
      <c r="U133" s="41">
        <v>9050742</v>
      </c>
      <c r="V133" s="41">
        <v>4864401</v>
      </c>
      <c r="W133" s="41">
        <v>2273744</v>
      </c>
      <c r="X133" s="41">
        <v>1771833</v>
      </c>
      <c r="Y133" s="41">
        <v>1207357</v>
      </c>
      <c r="Z133" s="41">
        <v>1426851</v>
      </c>
      <c r="AA133" s="20"/>
      <c r="AB133" s="20"/>
      <c r="AC133" s="41">
        <v>64783839</v>
      </c>
      <c r="AD133" s="41">
        <v>33949899</v>
      </c>
      <c r="AE133" s="41">
        <v>17389213</v>
      </c>
      <c r="AF133" s="41">
        <v>14523659</v>
      </c>
      <c r="AG133" s="41">
        <v>10649209</v>
      </c>
      <c r="AH133" s="43">
        <v>16853912</v>
      </c>
      <c r="AI133" s="21"/>
    </row>
    <row r="134" spans="2:35" x14ac:dyDescent="0.3">
      <c r="B134" s="22"/>
      <c r="C134" s="23"/>
      <c r="D134" s="42" t="s">
        <v>31</v>
      </c>
      <c r="E134" s="41">
        <v>91667</v>
      </c>
      <c r="F134" s="41">
        <v>51389</v>
      </c>
      <c r="G134" s="41">
        <v>29431</v>
      </c>
      <c r="H134" s="41">
        <v>22978</v>
      </c>
      <c r="I134" s="41">
        <v>15698</v>
      </c>
      <c r="J134" s="41">
        <v>14764</v>
      </c>
      <c r="K134" s="20"/>
      <c r="L134" s="20"/>
      <c r="M134" s="41">
        <v>958837</v>
      </c>
      <c r="N134" s="41">
        <v>553795</v>
      </c>
      <c r="O134" s="41">
        <v>282906</v>
      </c>
      <c r="P134" s="41">
        <v>198049</v>
      </c>
      <c r="Q134" s="41">
        <v>139427</v>
      </c>
      <c r="R134" s="41">
        <v>121104</v>
      </c>
      <c r="S134" s="20"/>
      <c r="T134" s="20"/>
      <c r="U134" s="41">
        <v>8934297</v>
      </c>
      <c r="V134" s="41">
        <v>4893187</v>
      </c>
      <c r="W134" s="41">
        <v>2258789</v>
      </c>
      <c r="X134" s="41">
        <v>1783940</v>
      </c>
      <c r="Y134" s="41">
        <v>1215019</v>
      </c>
      <c r="Z134" s="41">
        <v>1405600</v>
      </c>
      <c r="AA134" s="20"/>
      <c r="AB134" s="20"/>
      <c r="AC134" s="41">
        <v>64854919</v>
      </c>
      <c r="AD134" s="41">
        <v>34014117</v>
      </c>
      <c r="AE134" s="41">
        <v>17472499</v>
      </c>
      <c r="AF134" s="41">
        <v>14611759</v>
      </c>
      <c r="AG134" s="41">
        <v>10310598</v>
      </c>
      <c r="AH134" s="43">
        <v>16877834</v>
      </c>
      <c r="AI134" s="21"/>
    </row>
    <row r="135" spans="2:35" x14ac:dyDescent="0.3">
      <c r="B135" s="22"/>
      <c r="C135" s="23"/>
      <c r="D135" s="42" t="s">
        <v>32</v>
      </c>
      <c r="E135" s="41">
        <v>91311</v>
      </c>
      <c r="F135" s="41">
        <v>49085</v>
      </c>
      <c r="G135" s="41">
        <v>34717</v>
      </c>
      <c r="H135" s="41">
        <v>24029</v>
      </c>
      <c r="I135" s="41">
        <v>14942</v>
      </c>
      <c r="J135" s="41">
        <v>15483</v>
      </c>
      <c r="K135" s="20"/>
      <c r="L135" s="20"/>
      <c r="M135" s="41">
        <v>959518</v>
      </c>
      <c r="N135" s="41">
        <v>527090</v>
      </c>
      <c r="O135" s="41">
        <v>288976</v>
      </c>
      <c r="P135" s="41">
        <v>197932</v>
      </c>
      <c r="Q135" s="41">
        <v>140626</v>
      </c>
      <c r="R135" s="41">
        <v>121493</v>
      </c>
      <c r="S135" s="20"/>
      <c r="T135" s="20"/>
      <c r="U135" s="41">
        <v>8995933</v>
      </c>
      <c r="V135" s="41">
        <v>4927365</v>
      </c>
      <c r="W135" s="41">
        <v>2259775</v>
      </c>
      <c r="X135" s="41">
        <v>1772652</v>
      </c>
      <c r="Y135" s="41">
        <v>1212663</v>
      </c>
      <c r="Z135" s="41">
        <v>1361585</v>
      </c>
      <c r="AA135" s="20"/>
      <c r="AB135" s="20"/>
      <c r="AC135" s="41">
        <v>64813182</v>
      </c>
      <c r="AD135" s="41">
        <v>34177171</v>
      </c>
      <c r="AE135" s="41">
        <v>17356355</v>
      </c>
      <c r="AF135" s="41">
        <v>14800764</v>
      </c>
      <c r="AG135" s="41">
        <v>10611789</v>
      </c>
      <c r="AH135" s="43">
        <v>16703465</v>
      </c>
      <c r="AI135" s="21"/>
    </row>
    <row r="136" spans="2:35" x14ac:dyDescent="0.3">
      <c r="B136" s="22"/>
      <c r="C136" s="23"/>
      <c r="D136" s="42" t="s">
        <v>33</v>
      </c>
      <c r="E136" s="41">
        <v>92080</v>
      </c>
      <c r="F136" s="41">
        <v>49857</v>
      </c>
      <c r="G136" s="41">
        <v>33707</v>
      </c>
      <c r="H136" s="41">
        <v>24072</v>
      </c>
      <c r="I136" s="41">
        <v>16183</v>
      </c>
      <c r="J136" s="41">
        <v>15443</v>
      </c>
      <c r="K136" s="20"/>
      <c r="L136" s="20"/>
      <c r="M136" s="41">
        <v>960689</v>
      </c>
      <c r="N136" s="41">
        <v>537827</v>
      </c>
      <c r="O136" s="41">
        <v>286371</v>
      </c>
      <c r="P136" s="41">
        <v>207230</v>
      </c>
      <c r="Q136" s="41">
        <v>139551</v>
      </c>
      <c r="R136" s="41">
        <v>118510</v>
      </c>
      <c r="S136" s="20"/>
      <c r="T136" s="20"/>
      <c r="U136" s="41">
        <v>8919251</v>
      </c>
      <c r="V136" s="41">
        <v>4775825</v>
      </c>
      <c r="W136" s="41">
        <v>2272971</v>
      </c>
      <c r="X136" s="41">
        <v>1763720</v>
      </c>
      <c r="Y136" s="41">
        <v>1218928</v>
      </c>
      <c r="Z136" s="41">
        <v>1404343</v>
      </c>
      <c r="AA136" s="20"/>
      <c r="AB136" s="20"/>
      <c r="AC136" s="41">
        <v>64816322</v>
      </c>
      <c r="AD136" s="41">
        <v>34269189</v>
      </c>
      <c r="AE136" s="41">
        <v>17368328</v>
      </c>
      <c r="AF136" s="41">
        <v>14551107</v>
      </c>
      <c r="AG136" s="41">
        <v>10539832</v>
      </c>
      <c r="AH136" s="43">
        <v>17193908</v>
      </c>
      <c r="AI136" s="21"/>
    </row>
    <row r="137" spans="2:35" x14ac:dyDescent="0.3">
      <c r="B137" s="22"/>
      <c r="C137" s="23"/>
      <c r="D137" s="42" t="s">
        <v>34</v>
      </c>
      <c r="E137" s="41">
        <v>89814</v>
      </c>
      <c r="F137" s="41">
        <v>49074</v>
      </c>
      <c r="G137" s="41">
        <v>36022</v>
      </c>
      <c r="H137" s="41">
        <v>24152</v>
      </c>
      <c r="I137" s="41">
        <v>16254</v>
      </c>
      <c r="J137" s="41">
        <v>15741</v>
      </c>
      <c r="K137" s="20"/>
      <c r="L137" s="20"/>
      <c r="M137" s="41">
        <v>980293</v>
      </c>
      <c r="N137" s="41">
        <v>518051</v>
      </c>
      <c r="O137" s="41">
        <v>282213</v>
      </c>
      <c r="P137" s="41">
        <v>195931</v>
      </c>
      <c r="Q137" s="41">
        <v>139464</v>
      </c>
      <c r="R137" s="41">
        <v>125552</v>
      </c>
      <c r="S137" s="20"/>
      <c r="T137" s="20"/>
      <c r="U137" s="41">
        <v>8979810</v>
      </c>
      <c r="V137" s="41">
        <v>4864537</v>
      </c>
      <c r="W137" s="41">
        <v>2267509</v>
      </c>
      <c r="X137" s="41">
        <v>1772303</v>
      </c>
      <c r="Y137" s="41">
        <v>1218860</v>
      </c>
      <c r="Z137" s="41">
        <v>1410028</v>
      </c>
      <c r="AA137" s="20"/>
      <c r="AB137" s="20"/>
      <c r="AC137" s="41">
        <v>64936343</v>
      </c>
      <c r="AD137" s="41">
        <v>33954816</v>
      </c>
      <c r="AE137" s="41">
        <v>17370673</v>
      </c>
      <c r="AF137" s="41">
        <v>14607503</v>
      </c>
      <c r="AG137" s="41">
        <v>12116576</v>
      </c>
      <c r="AH137" s="43">
        <v>17049530</v>
      </c>
      <c r="AI137" s="21"/>
    </row>
    <row r="138" spans="2:35" x14ac:dyDescent="0.3">
      <c r="B138" s="22"/>
      <c r="C138" s="23"/>
      <c r="D138" s="42" t="s">
        <v>35</v>
      </c>
      <c r="E138" s="41">
        <v>89895</v>
      </c>
      <c r="F138" s="41">
        <v>47132</v>
      </c>
      <c r="G138" s="41">
        <v>34873</v>
      </c>
      <c r="H138" s="41">
        <v>24068</v>
      </c>
      <c r="I138" s="41">
        <v>16159</v>
      </c>
      <c r="J138" s="41">
        <v>14134</v>
      </c>
      <c r="K138" s="20"/>
      <c r="L138" s="20"/>
      <c r="M138" s="41">
        <v>975366</v>
      </c>
      <c r="N138" s="41">
        <v>523383</v>
      </c>
      <c r="O138" s="41">
        <v>281184</v>
      </c>
      <c r="P138" s="41">
        <v>200494</v>
      </c>
      <c r="Q138" s="41">
        <v>140569</v>
      </c>
      <c r="R138" s="41">
        <v>118908</v>
      </c>
      <c r="S138" s="20"/>
      <c r="T138" s="20"/>
      <c r="U138" s="41">
        <v>8933476</v>
      </c>
      <c r="V138" s="41">
        <v>4943532</v>
      </c>
      <c r="W138" s="41">
        <v>2268806</v>
      </c>
      <c r="X138" s="41">
        <v>1772684</v>
      </c>
      <c r="Y138" s="41">
        <v>1211959</v>
      </c>
      <c r="Z138" s="41">
        <v>1419305</v>
      </c>
      <c r="AA138" s="20"/>
      <c r="AB138" s="20"/>
      <c r="AC138" s="41">
        <v>65101495</v>
      </c>
      <c r="AD138" s="41">
        <v>34310626</v>
      </c>
      <c r="AE138" s="41">
        <v>17444141</v>
      </c>
      <c r="AF138" s="41">
        <v>17171790</v>
      </c>
      <c r="AG138" s="41">
        <v>12107019</v>
      </c>
      <c r="AH138" s="43">
        <v>16760680</v>
      </c>
      <c r="AI138" s="21"/>
    </row>
    <row r="139" spans="2:35" x14ac:dyDescent="0.3">
      <c r="B139" s="22"/>
      <c r="C139" s="23"/>
      <c r="D139" s="42" t="s">
        <v>36</v>
      </c>
      <c r="E139" s="41">
        <v>91401</v>
      </c>
      <c r="F139" s="41">
        <v>49699</v>
      </c>
      <c r="G139" s="41">
        <v>37191</v>
      </c>
      <c r="H139" s="41">
        <v>21953</v>
      </c>
      <c r="I139" s="41">
        <v>13408</v>
      </c>
      <c r="J139" s="41">
        <v>14560</v>
      </c>
      <c r="K139" s="20"/>
      <c r="L139" s="20"/>
      <c r="M139" s="41">
        <v>961327</v>
      </c>
      <c r="N139" s="41">
        <v>538608</v>
      </c>
      <c r="O139" s="41">
        <v>286142</v>
      </c>
      <c r="P139" s="41">
        <v>195790</v>
      </c>
      <c r="Q139" s="41">
        <v>140014</v>
      </c>
      <c r="R139" s="41">
        <v>120147</v>
      </c>
      <c r="S139" s="20"/>
      <c r="T139" s="20"/>
      <c r="U139" s="41">
        <v>8928277</v>
      </c>
      <c r="V139" s="41">
        <v>4766683</v>
      </c>
      <c r="W139" s="41">
        <v>2273921</v>
      </c>
      <c r="X139" s="41">
        <v>1772477</v>
      </c>
      <c r="Y139" s="41">
        <v>1210825</v>
      </c>
      <c r="Z139" s="41">
        <v>1415017</v>
      </c>
      <c r="AA139" s="20"/>
      <c r="AB139" s="20"/>
      <c r="AC139" s="41">
        <v>64755993</v>
      </c>
      <c r="AD139" s="41">
        <v>33336143</v>
      </c>
      <c r="AE139" s="41">
        <v>17522825</v>
      </c>
      <c r="AF139" s="41">
        <v>17112425</v>
      </c>
      <c r="AG139" s="41">
        <v>12040553</v>
      </c>
      <c r="AH139" s="43">
        <v>17119447</v>
      </c>
      <c r="AI139" s="21"/>
    </row>
    <row r="140" spans="2:35" x14ac:dyDescent="0.3">
      <c r="B140" s="22"/>
      <c r="C140" s="23"/>
      <c r="D140" s="42" t="s">
        <v>37</v>
      </c>
      <c r="E140" s="41">
        <v>91509</v>
      </c>
      <c r="F140" s="41">
        <v>48582</v>
      </c>
      <c r="G140" s="41">
        <v>37113</v>
      </c>
      <c r="H140" s="41">
        <v>24033</v>
      </c>
      <c r="I140" s="41">
        <v>16123</v>
      </c>
      <c r="J140" s="41">
        <v>15291</v>
      </c>
      <c r="K140" s="20"/>
      <c r="L140" s="20"/>
      <c r="M140" s="41">
        <v>980778</v>
      </c>
      <c r="N140" s="41">
        <v>525516</v>
      </c>
      <c r="O140" s="41">
        <v>280567</v>
      </c>
      <c r="P140" s="41">
        <v>194918</v>
      </c>
      <c r="Q140" s="41">
        <v>138620</v>
      </c>
      <c r="R140" s="41">
        <v>123564</v>
      </c>
      <c r="S140" s="20"/>
      <c r="T140" s="20"/>
      <c r="U140" s="41">
        <v>8921701</v>
      </c>
      <c r="V140" s="41">
        <v>4859571</v>
      </c>
      <c r="W140" s="41">
        <v>2252539</v>
      </c>
      <c r="X140" s="41">
        <v>1769900</v>
      </c>
      <c r="Y140" s="41">
        <v>1216846</v>
      </c>
      <c r="Z140" s="41">
        <v>1332545</v>
      </c>
      <c r="AA140" s="20"/>
      <c r="AB140" s="20"/>
      <c r="AC140" s="41">
        <v>64886626</v>
      </c>
      <c r="AD140" s="41">
        <v>34487255</v>
      </c>
      <c r="AE140" s="41">
        <v>17486251</v>
      </c>
      <c r="AF140" s="41">
        <v>17041653</v>
      </c>
      <c r="AG140" s="41">
        <v>12344089</v>
      </c>
      <c r="AH140" s="43">
        <v>16939298</v>
      </c>
      <c r="AI140" s="21"/>
    </row>
    <row r="141" spans="2:35" x14ac:dyDescent="0.3">
      <c r="B141" s="22"/>
      <c r="C141" s="23"/>
      <c r="D141" s="42" t="s">
        <v>38</v>
      </c>
      <c r="E141" s="41">
        <v>93156</v>
      </c>
      <c r="F141" s="41">
        <v>52075</v>
      </c>
      <c r="G141" s="41">
        <v>28795</v>
      </c>
      <c r="H141" s="41">
        <v>24078</v>
      </c>
      <c r="I141" s="41">
        <v>16163</v>
      </c>
      <c r="J141" s="41">
        <v>15254</v>
      </c>
      <c r="K141" s="20"/>
      <c r="L141" s="20"/>
      <c r="M141" s="41">
        <v>960356</v>
      </c>
      <c r="N141" s="41">
        <v>533232</v>
      </c>
      <c r="O141" s="41">
        <v>287267</v>
      </c>
      <c r="P141" s="41">
        <v>198808</v>
      </c>
      <c r="Q141" s="41">
        <v>140610</v>
      </c>
      <c r="R141" s="41">
        <v>130941</v>
      </c>
      <c r="S141" s="20"/>
      <c r="T141" s="20"/>
      <c r="U141" s="41">
        <v>8916132</v>
      </c>
      <c r="V141" s="41">
        <v>4845804</v>
      </c>
      <c r="W141" s="41">
        <v>2275083</v>
      </c>
      <c r="X141" s="41">
        <v>1776393</v>
      </c>
      <c r="Y141" s="41">
        <v>1215935</v>
      </c>
      <c r="Z141" s="41">
        <v>1421904</v>
      </c>
      <c r="AA141" s="20"/>
      <c r="AB141" s="20"/>
      <c r="AC141" s="41">
        <v>64770743</v>
      </c>
      <c r="AD141" s="41">
        <v>34265259</v>
      </c>
      <c r="AE141" s="41">
        <v>17443163</v>
      </c>
      <c r="AF141" s="41">
        <v>17102454</v>
      </c>
      <c r="AG141" s="41">
        <v>12226371</v>
      </c>
      <c r="AH141" s="43">
        <v>17065976</v>
      </c>
      <c r="AI141" s="21"/>
    </row>
    <row r="142" spans="2:35" x14ac:dyDescent="0.3">
      <c r="B142" s="22"/>
      <c r="C142" s="23"/>
      <c r="D142" s="42" t="s">
        <v>39</v>
      </c>
      <c r="E142" s="41">
        <v>91775</v>
      </c>
      <c r="F142" s="41">
        <v>49645</v>
      </c>
      <c r="G142" s="41">
        <v>35688</v>
      </c>
      <c r="H142" s="41">
        <v>24105</v>
      </c>
      <c r="I142" s="41">
        <v>16145</v>
      </c>
      <c r="J142" s="41">
        <v>15616</v>
      </c>
      <c r="K142" s="20"/>
      <c r="L142" s="20"/>
      <c r="M142" s="41">
        <v>978617</v>
      </c>
      <c r="N142" s="41">
        <v>558020</v>
      </c>
      <c r="O142" s="41">
        <v>282770</v>
      </c>
      <c r="P142" s="41">
        <v>198050</v>
      </c>
      <c r="Q142" s="41">
        <v>138752</v>
      </c>
      <c r="R142" s="41">
        <v>120820</v>
      </c>
      <c r="S142" s="20"/>
      <c r="T142" s="20"/>
      <c r="U142" s="41">
        <v>9054181</v>
      </c>
      <c r="V142" s="41">
        <v>4930158</v>
      </c>
      <c r="W142" s="41">
        <v>2203563</v>
      </c>
      <c r="X142" s="41">
        <v>1751419</v>
      </c>
      <c r="Y142" s="41">
        <v>1215148</v>
      </c>
      <c r="Z142" s="41">
        <v>1470873</v>
      </c>
      <c r="AA142" s="20"/>
      <c r="AB142" s="20"/>
      <c r="AC142" s="41">
        <v>64744527</v>
      </c>
      <c r="AD142" s="41">
        <v>33966527</v>
      </c>
      <c r="AE142" s="41">
        <v>17371472</v>
      </c>
      <c r="AF142" s="41">
        <v>15203757</v>
      </c>
      <c r="AG142" s="41">
        <v>12061620</v>
      </c>
      <c r="AH142" s="43">
        <v>16775612</v>
      </c>
      <c r="AI142" s="21"/>
    </row>
    <row r="143" spans="2:35" ht="16.5" customHeight="1" thickBot="1" x14ac:dyDescent="0.35">
      <c r="B143" s="22"/>
      <c r="C143" s="24"/>
      <c r="D143" s="37" t="s">
        <v>44</v>
      </c>
      <c r="E143" s="25" cm="1">
        <f t="array" ref="E143">ROUND(AVERAGE(IF((ISNUMBER(E113:E142))*(E113:E142&lt;LARGE(E113:E142,2))*(E113:E142&gt;SMALL(E113:E142,2)),E113:E142)),0)</f>
        <v>91055</v>
      </c>
      <c r="F143" s="25" cm="1">
        <f t="array" ref="F143">ROUND(AVERAGE(IF((ISNUMBER(F113:F142))*(F113:F142&lt;LARGE(F113:F142,2))*(F113:F142&gt;SMALL(F113:F142,2)),F113:F142)),0)</f>
        <v>49102</v>
      </c>
      <c r="G143" s="25" cm="1">
        <f t="array" ref="G143">ROUND(AVERAGE(IF((ISNUMBER(G113:G142))*(G113:G142&lt;LARGE(G113:G142,2))*(G113:G142&gt;SMALL(G113:G142,2)),G113:G142)),0)</f>
        <v>32982</v>
      </c>
      <c r="H143" s="25" cm="1">
        <f t="array" ref="H143">ROUND(AVERAGE(IF((ISNUMBER(H113:H142))*(H113:H142&lt;LARGE(H113:H142,2))*(H113:H142&gt;SMALL(H113:H142,2)),H113:H142)),0)</f>
        <v>23683</v>
      </c>
      <c r="I143" s="25" cm="1">
        <f t="array" ref="I143">ROUND(AVERAGE(IF((ISNUMBER(I113:I142))*(I113:I142&lt;LARGE(I113:I142,2))*(I113:I142&gt;SMALL(I113:I142,2)),I113:I142)),0)</f>
        <v>15967</v>
      </c>
      <c r="J143" s="25" cm="1">
        <f t="array" ref="J143">ROUND(AVERAGE(IF((ISNUMBER(J113:J142))*(J113:J142&lt;LARGE(J113:J142,2))*(J113:J142&gt;SMALL(J113:J142,2)),J113:J142)),0)</f>
        <v>15184</v>
      </c>
      <c r="K143" s="25"/>
      <c r="L143" s="25"/>
      <c r="M143" s="25" cm="1">
        <f t="array" ref="M143">ROUND(AVERAGE(IF((ISNUMBER(M113:M142))*(M113:M142&lt;LARGE(M113:M142,2))*(M113:M142&gt;SMALL(M113:M142,2)),M113:M142)),0)</f>
        <v>986236</v>
      </c>
      <c r="N143" s="25" cm="1">
        <f t="array" ref="N143">ROUND(AVERAGE(IF((ISNUMBER(N113:N142))*(N113:N142&lt;LARGE(N113:N142,2))*(N113:N142&gt;SMALL(N113:N142,2)),N113:N142)),0)</f>
        <v>536538</v>
      </c>
      <c r="O143" s="25" cm="1">
        <f t="array" ref="O143">ROUND(AVERAGE(IF((ISNUMBER(O113:O142))*(O113:O142&lt;LARGE(O113:O142,2))*(O113:O142&gt;SMALL(O113:O142,2)),O113:O142)),0)</f>
        <v>283933</v>
      </c>
      <c r="P143" s="25" cm="1">
        <f t="array" ref="P143">ROUND(AVERAGE(IF((ISNUMBER(P113:P142))*(P113:P142&lt;LARGE(P113:P142,2))*(P113:P142&gt;SMALL(P113:P142,2)),P113:P142)),0)</f>
        <v>198005</v>
      </c>
      <c r="Q143" s="25" cm="1">
        <f t="array" ref="Q143">ROUND(AVERAGE(IF((ISNUMBER(Q113:Q142))*(Q113:Q142&lt;LARGE(Q113:Q142,2))*(Q113:Q142&gt;SMALL(Q113:Q142,2)),Q113:Q142)),0)</f>
        <v>139521</v>
      </c>
      <c r="R143" s="25" cm="1">
        <f t="array" ref="R143">ROUND(AVERAGE(IF((ISNUMBER(R113:R142))*(R113:R142&lt;LARGE(R113:R142,2))*(R113:R142&gt;SMALL(R113:R142,2)),R113:R142)),0)</f>
        <v>123952</v>
      </c>
      <c r="S143" s="25"/>
      <c r="T143" s="25"/>
      <c r="U143" s="25" cm="1">
        <f t="array" ref="U143">ROUND(AVERAGE(IF((ISNUMBER(U113:U142))*(U113:U142&lt;LARGE(U113:U142,2))*(U113:U142&gt;SMALL(U113:U142,2)),U113:U142)),0)</f>
        <v>8974364</v>
      </c>
      <c r="V143" s="25" cm="1">
        <f t="array" ref="V143">ROUND(AVERAGE(IF((ISNUMBER(V113:V142))*(V113:V142&lt;LARGE(V113:V142,2))*(V113:V142&gt;SMALL(V113:V142,2)),V113:V142)),0)</f>
        <v>4861540</v>
      </c>
      <c r="W143" s="25" cm="1">
        <f t="array" ref="W143">ROUND(AVERAGE(IF((ISNUMBER(W113:W142))*(W113:W142&lt;LARGE(W113:W142,2))*(W113:W142&gt;SMALL(W113:W142,2)),W113:W142)),0)</f>
        <v>2267223</v>
      </c>
      <c r="X143" s="25" cm="1">
        <f t="array" ref="X143">ROUND(AVERAGE(IF((ISNUMBER(X113:X142))*(X113:X142&lt;LARGE(X113:X142,2))*(X113:X142&gt;SMALL(X113:X142,2)),X113:X142)),0)</f>
        <v>1770971</v>
      </c>
      <c r="Y143" s="25" cm="1">
        <f t="array" ref="Y143">ROUND(AVERAGE(IF((ISNUMBER(Y113:Y142))*(Y113:Y142&lt;LARGE(Y113:Y142,2))*(Y113:Y142&gt;SMALL(Y113:Y142,2)),Y113:Y142)),0)</f>
        <v>1213816</v>
      </c>
      <c r="Z143" s="25" cm="1">
        <f t="array" ref="Z143">ROUND(AVERAGE(IF((ISNUMBER(Z113:Z142))*(Z113:Z142&lt;LARGE(Z113:Z142,2))*(Z113:Z142&gt;SMALL(Z113:Z142,2)),Z113:Z142)),0)</f>
        <v>1433026</v>
      </c>
      <c r="AA143" s="25"/>
      <c r="AB143" s="25"/>
      <c r="AC143" s="25" cm="1">
        <f t="array" ref="AC143">ROUND(AVERAGE(IF((ISNUMBER(AC113:AC142))*(AC113:AC142&lt;LARGE(AC113:AC142,2))*(AC113:AC142&gt;SMALL(AC113:AC142,2)),AC113:AC142)),0)</f>
        <v>64575660</v>
      </c>
      <c r="AD143" s="25" cm="1">
        <f t="array" ref="AD143">ROUND(AVERAGE(IF((ISNUMBER(AD113:AD142))*(AD113:AD142&lt;LARGE(AD113:AD142,2))*(AD113:AD142&gt;SMALL(AD113:AD142,2)),AD113:AD142)),0)</f>
        <v>34280622</v>
      </c>
      <c r="AE143" s="25" cm="1">
        <f t="array" ref="AE143">ROUND(AVERAGE(IF((ISNUMBER(AE113:AE142))*(AE113:AE142&lt;LARGE(AE113:AE142,2))*(AE113:AE142&gt;SMALL(AE113:AE142,2)),AE113:AE142)),0)</f>
        <v>18295851</v>
      </c>
      <c r="AF143" s="25" cm="1">
        <f t="array" ref="AF143">ROUND(AVERAGE(IF((ISNUMBER(AF113:AF142))*(AF113:AF142&lt;LARGE(AF113:AF142,2))*(AF113:AF142&gt;SMALL(AF113:AF142,2)),AF113:AF142)),0)</f>
        <v>14893011</v>
      </c>
      <c r="AG143" s="25" cm="1">
        <f t="array" ref="AG143">ROUND(AVERAGE(IF((ISNUMBER(AG113:AG142))*(AG113:AG142&lt;LARGE(AG113:AG142,2))*(AG113:AG142&gt;SMALL(AG113:AG142,2)),AG113:AG142)),0)</f>
        <v>11120981</v>
      </c>
      <c r="AH143" s="26" cm="1">
        <f t="array" ref="AH143">ROUND(AVERAGE(IF((ISNUMBER(AH113:AH142))*(AH113:AH142&lt;LARGE(AH113:AH142,2))*(AH113:AH142&gt;SMALL(AH113:AH142,2)),AH113:AH142)),0)</f>
        <v>17377950</v>
      </c>
      <c r="AI143" s="21"/>
    </row>
    <row r="144" spans="2:35" ht="16.5" customHeight="1" thickBot="1" x14ac:dyDescent="0.35">
      <c r="B144" s="27"/>
      <c r="C144" s="28"/>
      <c r="D144" s="3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9"/>
    </row>
    <row r="145" spans="4:4" x14ac:dyDescent="0.3">
      <c r="D145" s="1"/>
    </row>
    <row r="146" spans="4:4" x14ac:dyDescent="0.3">
      <c r="D146" s="1"/>
    </row>
  </sheetData>
  <mergeCells count="12">
    <mergeCell ref="K4:L4"/>
    <mergeCell ref="S4:T4"/>
    <mergeCell ref="AA4:AB4"/>
    <mergeCell ref="K40:L40"/>
    <mergeCell ref="S40:T40"/>
    <mergeCell ref="AA40:AB40"/>
    <mergeCell ref="AA76:AB76"/>
    <mergeCell ref="S76:T76"/>
    <mergeCell ref="K76:L76"/>
    <mergeCell ref="K112:L112"/>
    <mergeCell ref="S112:T112"/>
    <mergeCell ref="AA112:AB1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94C3-8059-4775-A519-544C60E17FF9}">
  <dimension ref="B5:AK274"/>
  <sheetViews>
    <sheetView topLeftCell="A231" zoomScale="55" zoomScaleNormal="55" workbookViewId="0">
      <selection activeCell="O12" sqref="O12"/>
    </sheetView>
  </sheetViews>
  <sheetFormatPr baseColWidth="10" defaultRowHeight="14.4" x14ac:dyDescent="0.3"/>
  <cols>
    <col min="3" max="3" width="27.21875" customWidth="1"/>
    <col min="4" max="4" width="10.88671875" customWidth="1"/>
    <col min="11" max="11" width="10.88671875" customWidth="1"/>
  </cols>
  <sheetData>
    <row r="5" spans="2:37" ht="15" thickBot="1" x14ac:dyDescent="0.35"/>
    <row r="6" spans="2:37" x14ac:dyDescent="0.3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4"/>
    </row>
    <row r="7" spans="2:37" ht="36.6" x14ac:dyDescent="0.7">
      <c r="B7" s="5"/>
      <c r="C7" s="6" t="s">
        <v>40</v>
      </c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8"/>
    </row>
    <row r="8" spans="2:37" x14ac:dyDescent="0.3">
      <c r="B8" s="5"/>
      <c r="C8" s="9" t="s">
        <v>45</v>
      </c>
      <c r="D8" s="9" t="s">
        <v>1</v>
      </c>
      <c r="E8" s="9" t="s">
        <v>2</v>
      </c>
      <c r="F8" s="9" t="s">
        <v>3</v>
      </c>
      <c r="G8" s="9" t="s">
        <v>4</v>
      </c>
      <c r="H8" s="9" t="s">
        <v>5</v>
      </c>
      <c r="I8" s="9" t="s">
        <v>6</v>
      </c>
      <c r="J8" s="7"/>
      <c r="K8" s="47" t="s">
        <v>45</v>
      </c>
      <c r="L8" s="47"/>
      <c r="M8" s="9" t="s">
        <v>1</v>
      </c>
      <c r="N8" s="9" t="s">
        <v>2</v>
      </c>
      <c r="O8" s="9" t="s">
        <v>3</v>
      </c>
      <c r="P8" s="9" t="s">
        <v>4</v>
      </c>
      <c r="Q8" s="9" t="s">
        <v>5</v>
      </c>
      <c r="R8" s="9" t="s">
        <v>6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8"/>
    </row>
    <row r="9" spans="2:37" x14ac:dyDescent="0.3">
      <c r="B9" s="5"/>
      <c r="C9" s="7" t="s">
        <v>50</v>
      </c>
      <c r="D9" s="7">
        <v>1</v>
      </c>
      <c r="E9" s="7">
        <f>$D10/E10</f>
        <v>1.9728931355490675</v>
      </c>
      <c r="F9" s="7">
        <f t="shared" ref="F9:I9" si="0">$D10/F10</f>
        <v>3.5562732016762797</v>
      </c>
      <c r="G9" s="7">
        <f t="shared" si="0"/>
        <v>4.5594706650763897</v>
      </c>
      <c r="H9" s="7">
        <f t="shared" si="0"/>
        <v>5.9917451597975848</v>
      </c>
      <c r="I9" s="7">
        <f t="shared" si="0"/>
        <v>5.5468603172848381</v>
      </c>
      <c r="J9" s="7"/>
      <c r="K9" s="48" t="s">
        <v>54</v>
      </c>
      <c r="L9" s="48"/>
      <c r="M9" s="7">
        <f t="shared" ref="M9:R9" si="1">(D9+D12+D15+D18)/4</f>
        <v>1</v>
      </c>
      <c r="N9" s="7">
        <f t="shared" si="1"/>
        <v>2.2606723926493908</v>
      </c>
      <c r="O9" s="7">
        <f t="shared" si="1"/>
        <v>4.27926909930334</v>
      </c>
      <c r="P9" s="7">
        <f t="shared" si="1"/>
        <v>5.0213562228558777</v>
      </c>
      <c r="Q9" s="7">
        <f t="shared" si="1"/>
        <v>6.0375626088731691</v>
      </c>
      <c r="R9" s="7">
        <f t="shared" si="1"/>
        <v>5.3034452792490665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8"/>
    </row>
    <row r="10" spans="2:37" x14ac:dyDescent="0.3">
      <c r="B10" s="5"/>
      <c r="C10" s="7" t="s">
        <v>46</v>
      </c>
      <c r="D10" s="7">
        <f>'Información completa'!E35</f>
        <v>401393</v>
      </c>
      <c r="E10" s="7">
        <f>'Información completa'!F35</f>
        <v>203454</v>
      </c>
      <c r="F10" s="7">
        <f>'Información completa'!G35</f>
        <v>112869</v>
      </c>
      <c r="G10" s="7">
        <f>'Información completa'!H35</f>
        <v>88035</v>
      </c>
      <c r="H10" s="7">
        <f>'Información completa'!I35</f>
        <v>66991</v>
      </c>
      <c r="I10" s="7">
        <f>'Información completa'!J35</f>
        <v>72364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8"/>
    </row>
    <row r="11" spans="2:37" x14ac:dyDescent="0.3">
      <c r="B11" s="5"/>
      <c r="C11" s="9" t="s">
        <v>45</v>
      </c>
      <c r="D11" s="9" t="s">
        <v>1</v>
      </c>
      <c r="E11" s="9" t="s">
        <v>2</v>
      </c>
      <c r="F11" s="9" t="s">
        <v>3</v>
      </c>
      <c r="G11" s="9" t="s">
        <v>4</v>
      </c>
      <c r="H11" s="9" t="s">
        <v>5</v>
      </c>
      <c r="I11" s="9" t="s">
        <v>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8"/>
    </row>
    <row r="12" spans="2:37" x14ac:dyDescent="0.3">
      <c r="B12" s="5"/>
      <c r="C12" s="7" t="s">
        <v>51</v>
      </c>
      <c r="D12" s="7">
        <v>1</v>
      </c>
      <c r="E12" s="7">
        <f>$D13/E13</f>
        <v>1.8471485366387821</v>
      </c>
      <c r="F12" s="7">
        <f t="shared" ref="F12:I12" si="2">$D13/F13</f>
        <v>3.4956057809564616</v>
      </c>
      <c r="G12" s="7">
        <f t="shared" si="2"/>
        <v>5.346010723759238</v>
      </c>
      <c r="H12" s="7">
        <f t="shared" si="2"/>
        <v>7.4549433903910396</v>
      </c>
      <c r="I12" s="7">
        <f t="shared" si="2"/>
        <v>6.8444023903096944</v>
      </c>
      <c r="J12" s="7"/>
      <c r="K12" s="7"/>
      <c r="L12" s="7"/>
      <c r="M12" s="7"/>
      <c r="N12" s="7"/>
      <c r="O12" s="45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8"/>
    </row>
    <row r="13" spans="2:37" x14ac:dyDescent="0.3">
      <c r="B13" s="5"/>
      <c r="C13" s="7" t="s">
        <v>47</v>
      </c>
      <c r="D13" s="7">
        <f>'Información completa'!M35</f>
        <v>4242407</v>
      </c>
      <c r="E13" s="7">
        <f>'Información completa'!N35</f>
        <v>2296733</v>
      </c>
      <c r="F13" s="7">
        <f>'Información completa'!O35</f>
        <v>1213640</v>
      </c>
      <c r="G13" s="7">
        <f>'Información completa'!P35</f>
        <v>793565</v>
      </c>
      <c r="H13" s="7">
        <f>'Información completa'!Q35</f>
        <v>569073</v>
      </c>
      <c r="I13" s="7">
        <f>'Información completa'!R35</f>
        <v>619836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8"/>
    </row>
    <row r="14" spans="2:37" x14ac:dyDescent="0.3">
      <c r="B14" s="5"/>
      <c r="C14" s="9" t="s">
        <v>45</v>
      </c>
      <c r="D14" s="9" t="s">
        <v>1</v>
      </c>
      <c r="E14" s="9" t="s">
        <v>2</v>
      </c>
      <c r="F14" s="9" t="s">
        <v>3</v>
      </c>
      <c r="G14" s="9" t="s">
        <v>4</v>
      </c>
      <c r="H14" s="9" t="s">
        <v>5</v>
      </c>
      <c r="I14" s="9" t="s">
        <v>6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8"/>
    </row>
    <row r="15" spans="2:37" x14ac:dyDescent="0.3">
      <c r="B15" s="5"/>
      <c r="C15" s="7" t="s">
        <v>52</v>
      </c>
      <c r="D15" s="7">
        <v>1</v>
      </c>
      <c r="E15" s="7">
        <f>$D16/E16</f>
        <v>2.183578570179237</v>
      </c>
      <c r="F15" s="7">
        <f t="shared" ref="F15" si="3">$D16/F16</f>
        <v>4.6542647750632149</v>
      </c>
      <c r="G15" s="7">
        <f t="shared" ref="G15" si="4">$D16/G16</f>
        <v>5.5921896573970873</v>
      </c>
      <c r="H15" s="7">
        <f t="shared" ref="H15" si="5">$D16/H16</f>
        <v>6.7391349359708634</v>
      </c>
      <c r="I15" s="7">
        <f t="shared" ref="I15" si="6">$D16/I16</f>
        <v>5.8955684813505327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8"/>
    </row>
    <row r="16" spans="2:37" x14ac:dyDescent="0.3">
      <c r="B16" s="5"/>
      <c r="C16" s="7" t="s">
        <v>48</v>
      </c>
      <c r="D16" s="7">
        <f>'Información completa'!U35</f>
        <v>49537467</v>
      </c>
      <c r="E16" s="7">
        <f>'Información completa'!V35</f>
        <v>22686368</v>
      </c>
      <c r="F16" s="7">
        <f>'Información completa'!W35</f>
        <v>10643457</v>
      </c>
      <c r="G16" s="7">
        <f>'Información completa'!X35</f>
        <v>8858331</v>
      </c>
      <c r="H16" s="7">
        <f>'Información completa'!Y35</f>
        <v>7350716</v>
      </c>
      <c r="I16" s="7">
        <f>'Información completa'!Z35</f>
        <v>8402492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8"/>
    </row>
    <row r="17" spans="2:37" x14ac:dyDescent="0.3">
      <c r="B17" s="5"/>
      <c r="C17" s="9" t="s">
        <v>45</v>
      </c>
      <c r="D17" s="9" t="s">
        <v>1</v>
      </c>
      <c r="E17" s="9" t="s">
        <v>2</v>
      </c>
      <c r="F17" s="9" t="s">
        <v>3</v>
      </c>
      <c r="G17" s="9" t="s">
        <v>4</v>
      </c>
      <c r="H17" s="9" t="s">
        <v>5</v>
      </c>
      <c r="I17" s="9" t="s">
        <v>6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8"/>
    </row>
    <row r="18" spans="2:37" x14ac:dyDescent="0.3">
      <c r="B18" s="5"/>
      <c r="C18" s="7" t="s">
        <v>53</v>
      </c>
      <c r="D18" s="7">
        <v>1</v>
      </c>
      <c r="E18" s="7">
        <f>$D19/E19</f>
        <v>3.0390693282304779</v>
      </c>
      <c r="F18" s="7">
        <f t="shared" ref="F18" si="7">$D19/F19</f>
        <v>5.4109326395174024</v>
      </c>
      <c r="G18" s="7">
        <f t="shared" ref="G18" si="8">$D19/G19</f>
        <v>4.587753845190794</v>
      </c>
      <c r="H18" s="7">
        <f t="shared" ref="H18" si="9">$D19/H19</f>
        <v>3.9644269493331885</v>
      </c>
      <c r="I18" s="7">
        <f t="shared" ref="I18" si="10">$D19/I19</f>
        <v>2.9269499280512008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8"/>
    </row>
    <row r="19" spans="2:37" x14ac:dyDescent="0.3">
      <c r="B19" s="5"/>
      <c r="C19" s="7" t="s">
        <v>49</v>
      </c>
      <c r="D19" s="7">
        <f>'Información completa'!AC35</f>
        <v>730248566</v>
      </c>
      <c r="E19" s="7">
        <f>'Información completa'!AD35</f>
        <v>240286906</v>
      </c>
      <c r="F19" s="7">
        <f>'Información completa'!AE35</f>
        <v>134957985</v>
      </c>
      <c r="G19" s="7">
        <f>'Información completa'!AF35</f>
        <v>159173441</v>
      </c>
      <c r="H19" s="7">
        <f>'Información completa'!AG35</f>
        <v>184200283</v>
      </c>
      <c r="I19" s="7">
        <f>'Información completa'!AH35</f>
        <v>249491308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8"/>
    </row>
    <row r="20" spans="2:37" x14ac:dyDescent="0.3"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8"/>
    </row>
    <row r="21" spans="2:37" x14ac:dyDescent="0.3"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8"/>
    </row>
    <row r="22" spans="2:37" x14ac:dyDescent="0.3">
      <c r="B22" s="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8"/>
    </row>
    <row r="23" spans="2:37" x14ac:dyDescent="0.3">
      <c r="B23" s="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8"/>
    </row>
    <row r="24" spans="2:37" x14ac:dyDescent="0.3">
      <c r="B24" s="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8"/>
    </row>
    <row r="25" spans="2:37" x14ac:dyDescent="0.3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8"/>
    </row>
    <row r="26" spans="2:37" x14ac:dyDescent="0.3"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8"/>
    </row>
    <row r="27" spans="2:37" x14ac:dyDescent="0.3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8"/>
    </row>
    <row r="28" spans="2:37" x14ac:dyDescent="0.3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8"/>
    </row>
    <row r="29" spans="2:37" x14ac:dyDescent="0.3"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8"/>
    </row>
    <row r="30" spans="2:37" x14ac:dyDescent="0.3"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8"/>
    </row>
    <row r="31" spans="2:37" x14ac:dyDescent="0.3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8"/>
    </row>
    <row r="32" spans="2:37" x14ac:dyDescent="0.3"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8"/>
    </row>
    <row r="33" spans="2:37" x14ac:dyDescent="0.3"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8"/>
    </row>
    <row r="34" spans="2:37" x14ac:dyDescent="0.3"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8"/>
    </row>
    <row r="35" spans="2:37" x14ac:dyDescent="0.3"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8"/>
    </row>
    <row r="36" spans="2:37" x14ac:dyDescent="0.3"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8"/>
    </row>
    <row r="37" spans="2:37" x14ac:dyDescent="0.3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8"/>
    </row>
    <row r="38" spans="2:37" x14ac:dyDescent="0.3">
      <c r="B38" s="5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8"/>
    </row>
    <row r="39" spans="2:37" x14ac:dyDescent="0.3">
      <c r="B39" s="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8"/>
    </row>
    <row r="40" spans="2:37" x14ac:dyDescent="0.3">
      <c r="B40" s="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8"/>
    </row>
    <row r="41" spans="2:37" x14ac:dyDescent="0.3">
      <c r="B41" s="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8"/>
    </row>
    <row r="42" spans="2:37" x14ac:dyDescent="0.3">
      <c r="B42" s="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8"/>
    </row>
    <row r="43" spans="2:37" x14ac:dyDescent="0.3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8"/>
    </row>
    <row r="44" spans="2:37" x14ac:dyDescent="0.3">
      <c r="B44" s="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8"/>
    </row>
    <row r="45" spans="2:37" x14ac:dyDescent="0.3">
      <c r="B45" s="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8"/>
    </row>
    <row r="46" spans="2:37" x14ac:dyDescent="0.3">
      <c r="B46" s="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8"/>
    </row>
    <row r="47" spans="2:37" x14ac:dyDescent="0.3">
      <c r="B47" s="5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8"/>
    </row>
    <row r="48" spans="2:37" x14ac:dyDescent="0.3"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8"/>
    </row>
    <row r="49" spans="2:37" x14ac:dyDescent="0.3">
      <c r="B49" s="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8"/>
    </row>
    <row r="50" spans="2:37" x14ac:dyDescent="0.3"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8"/>
    </row>
    <row r="51" spans="2:37" x14ac:dyDescent="0.3"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8"/>
    </row>
    <row r="52" spans="2:37" x14ac:dyDescent="0.3"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8"/>
    </row>
    <row r="53" spans="2:37" x14ac:dyDescent="0.3"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8"/>
    </row>
    <row r="54" spans="2:37" x14ac:dyDescent="0.3"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8"/>
    </row>
    <row r="55" spans="2:37" x14ac:dyDescent="0.3">
      <c r="B55" s="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8"/>
    </row>
    <row r="56" spans="2:37" x14ac:dyDescent="0.3"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8"/>
    </row>
    <row r="57" spans="2:37" x14ac:dyDescent="0.3"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8"/>
    </row>
    <row r="58" spans="2:37" x14ac:dyDescent="0.3"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8"/>
    </row>
    <row r="59" spans="2:37" x14ac:dyDescent="0.3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8"/>
    </row>
    <row r="60" spans="2:37" x14ac:dyDescent="0.3"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8"/>
    </row>
    <row r="61" spans="2:37" x14ac:dyDescent="0.3">
      <c r="B61" s="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8"/>
    </row>
    <row r="62" spans="2:37" x14ac:dyDescent="0.3"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8"/>
    </row>
    <row r="63" spans="2:37" x14ac:dyDescent="0.3"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8"/>
    </row>
    <row r="64" spans="2:37" x14ac:dyDescent="0.3"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8"/>
    </row>
    <row r="65" spans="2:37" x14ac:dyDescent="0.3">
      <c r="B65" s="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8"/>
    </row>
    <row r="66" spans="2:37" x14ac:dyDescent="0.3"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8"/>
    </row>
    <row r="67" spans="2:37" x14ac:dyDescent="0.3">
      <c r="B67" s="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8"/>
    </row>
    <row r="68" spans="2:37" x14ac:dyDescent="0.3">
      <c r="B68" s="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8"/>
    </row>
    <row r="69" spans="2:37" x14ac:dyDescent="0.3"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8"/>
    </row>
    <row r="70" spans="2:37" ht="28.5" customHeight="1" thickBot="1" x14ac:dyDescent="0.35"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2"/>
    </row>
    <row r="73" spans="2:37" ht="15" thickBot="1" x14ac:dyDescent="0.35"/>
    <row r="74" spans="2:37" x14ac:dyDescent="0.3"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4"/>
    </row>
    <row r="75" spans="2:37" ht="36.6" x14ac:dyDescent="0.7">
      <c r="B75" s="5"/>
      <c r="C75" s="6" t="s">
        <v>41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8"/>
    </row>
    <row r="76" spans="2:37" x14ac:dyDescent="0.3">
      <c r="B76" s="5"/>
      <c r="C76" s="9" t="s">
        <v>45</v>
      </c>
      <c r="D76" s="9" t="s">
        <v>1</v>
      </c>
      <c r="E76" s="9" t="s">
        <v>2</v>
      </c>
      <c r="F76" s="9" t="s">
        <v>3</v>
      </c>
      <c r="G76" s="9" t="s">
        <v>4</v>
      </c>
      <c r="H76" s="9" t="s">
        <v>5</v>
      </c>
      <c r="I76" s="9" t="s">
        <v>6</v>
      </c>
      <c r="J76" s="7"/>
      <c r="K76" s="47" t="s">
        <v>45</v>
      </c>
      <c r="L76" s="47"/>
      <c r="M76" s="9" t="s">
        <v>1</v>
      </c>
      <c r="N76" s="9" t="s">
        <v>2</v>
      </c>
      <c r="O76" s="9" t="s">
        <v>3</v>
      </c>
      <c r="P76" s="9" t="s">
        <v>4</v>
      </c>
      <c r="Q76" s="9" t="s">
        <v>5</v>
      </c>
      <c r="R76" s="9" t="s">
        <v>6</v>
      </c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8"/>
    </row>
    <row r="77" spans="2:37" x14ac:dyDescent="0.3">
      <c r="B77" s="5"/>
      <c r="C77" s="7" t="s">
        <v>50</v>
      </c>
      <c r="D77" s="7">
        <v>1</v>
      </c>
      <c r="E77" s="7">
        <f>$D78/E78</f>
        <v>1.9486858573216521</v>
      </c>
      <c r="F77" s="7">
        <f t="shared" ref="F77" si="11">$D78/F78</f>
        <v>2.8906663275686673</v>
      </c>
      <c r="G77" s="7">
        <f t="shared" ref="G77" si="12">$D78/G78</f>
        <v>3.3401216609362603</v>
      </c>
      <c r="H77" s="7">
        <f t="shared" ref="H77" si="13">$D78/H78</f>
        <v>4.0572927821803386</v>
      </c>
      <c r="I77" s="7">
        <f t="shared" ref="I77" si="14">$D78/I78</f>
        <v>4.5777518224656655</v>
      </c>
      <c r="J77" s="7"/>
      <c r="K77" s="48" t="s">
        <v>54</v>
      </c>
      <c r="L77" s="48"/>
      <c r="M77" s="7">
        <f t="shared" ref="M77:R77" si="15">(D77+D80+D83+D86)/4</f>
        <v>1</v>
      </c>
      <c r="N77" s="7">
        <f t="shared" si="15"/>
        <v>2.0709438210566082</v>
      </c>
      <c r="O77" s="7">
        <f t="shared" si="15"/>
        <v>4.1207104849551364</v>
      </c>
      <c r="P77" s="7">
        <f t="shared" si="15"/>
        <v>4.7535996525456055</v>
      </c>
      <c r="Q77" s="7">
        <f t="shared" si="15"/>
        <v>4.4680499385829036</v>
      </c>
      <c r="R77" s="7">
        <f t="shared" si="15"/>
        <v>4.2326992891824062</v>
      </c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8"/>
    </row>
    <row r="78" spans="2:37" x14ac:dyDescent="0.3">
      <c r="B78" s="5"/>
      <c r="C78" s="7" t="s">
        <v>46</v>
      </c>
      <c r="D78" s="7">
        <f>'Información completa'!E71</f>
        <v>113661</v>
      </c>
      <c r="E78" s="7">
        <f>'Información completa'!F71</f>
        <v>58327</v>
      </c>
      <c r="F78" s="7">
        <f>'Información completa'!G71</f>
        <v>39320</v>
      </c>
      <c r="G78" s="7">
        <f>'Información completa'!H71</f>
        <v>34029</v>
      </c>
      <c r="H78" s="7">
        <f>'Información completa'!I71</f>
        <v>28014</v>
      </c>
      <c r="I78" s="7">
        <f>'Información completa'!J71</f>
        <v>24829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8"/>
    </row>
    <row r="79" spans="2:37" x14ac:dyDescent="0.3">
      <c r="B79" s="5"/>
      <c r="C79" s="9" t="s">
        <v>45</v>
      </c>
      <c r="D79" s="9" t="s">
        <v>1</v>
      </c>
      <c r="E79" s="9" t="s">
        <v>2</v>
      </c>
      <c r="F79" s="9" t="s">
        <v>3</v>
      </c>
      <c r="G79" s="9" t="s">
        <v>4</v>
      </c>
      <c r="H79" s="9" t="s">
        <v>5</v>
      </c>
      <c r="I79" s="9" t="s">
        <v>6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8"/>
    </row>
    <row r="80" spans="2:37" x14ac:dyDescent="0.3">
      <c r="B80" s="5"/>
      <c r="C80" s="7" t="s">
        <v>51</v>
      </c>
      <c r="D80" s="7">
        <v>1</v>
      </c>
      <c r="E80" s="7">
        <f>$D81/E81</f>
        <v>1.6735746673027767</v>
      </c>
      <c r="F80" s="7">
        <f t="shared" ref="F80" si="16">$D81/F81</f>
        <v>3.6072969267297594</v>
      </c>
      <c r="G80" s="7">
        <f t="shared" ref="G80" si="17">$D81/G81</f>
        <v>4.6539139813940951</v>
      </c>
      <c r="H80" s="7">
        <f t="shared" ref="H80" si="18">$D81/H81</f>
        <v>3.9832077453005459</v>
      </c>
      <c r="I80" s="7">
        <f>$D81/I81</f>
        <v>3.7810878133099064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8"/>
    </row>
    <row r="81" spans="2:37" x14ac:dyDescent="0.3">
      <c r="B81" s="5"/>
      <c r="C81" s="7" t="s">
        <v>47</v>
      </c>
      <c r="D81" s="7">
        <f>'Información completa'!M71</f>
        <v>1725904</v>
      </c>
      <c r="E81" s="7">
        <f>'Información completa'!N71</f>
        <v>1031268</v>
      </c>
      <c r="F81" s="7">
        <f>'Información completa'!O71</f>
        <v>478448</v>
      </c>
      <c r="G81" s="7">
        <f>'Información completa'!P71</f>
        <v>370850</v>
      </c>
      <c r="H81" s="7">
        <f>'Información completa'!Q71</f>
        <v>433295</v>
      </c>
      <c r="I81" s="7">
        <f>'Información completa'!R71</f>
        <v>456457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8"/>
    </row>
    <row r="82" spans="2:37" x14ac:dyDescent="0.3">
      <c r="B82" s="5"/>
      <c r="C82" s="9" t="s">
        <v>45</v>
      </c>
      <c r="D82" s="9" t="s">
        <v>1</v>
      </c>
      <c r="E82" s="9" t="s">
        <v>2</v>
      </c>
      <c r="F82" s="9" t="s">
        <v>3</v>
      </c>
      <c r="G82" s="9" t="s">
        <v>4</v>
      </c>
      <c r="H82" s="9" t="s">
        <v>5</v>
      </c>
      <c r="I82" s="9" t="s">
        <v>6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8"/>
    </row>
    <row r="83" spans="2:37" x14ac:dyDescent="0.3">
      <c r="B83" s="5"/>
      <c r="C83" s="7" t="s">
        <v>52</v>
      </c>
      <c r="D83" s="7">
        <v>1</v>
      </c>
      <c r="E83" s="7">
        <f>$D84/E84</f>
        <v>2.1458240830292641</v>
      </c>
      <c r="F83" s="7">
        <f t="shared" ref="F83" si="19">$D84/F84</f>
        <v>4.9851672537833496</v>
      </c>
      <c r="G83" s="7">
        <f t="shared" ref="G83" si="20">$D84/G84</f>
        <v>5.8223306758898952</v>
      </c>
      <c r="H83" s="7">
        <f t="shared" ref="H83" si="21">$D84/H84</f>
        <v>5.5340455999437843</v>
      </c>
      <c r="I83" s="7">
        <f>$D84/I84</f>
        <v>5.1188046681467139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8"/>
    </row>
    <row r="84" spans="2:37" x14ac:dyDescent="0.3">
      <c r="B84" s="5"/>
      <c r="C84" s="7" t="s">
        <v>48</v>
      </c>
      <c r="D84" s="7">
        <f>'Información completa'!U71</f>
        <v>46858618</v>
      </c>
      <c r="E84" s="7">
        <f>'Información completa'!V71</f>
        <v>21837120</v>
      </c>
      <c r="F84" s="7">
        <f>'Información completa'!W71</f>
        <v>9399608</v>
      </c>
      <c r="G84" s="7">
        <f>'Información completa'!X71</f>
        <v>8048086</v>
      </c>
      <c r="H84" s="7">
        <f>'Información completa'!Y71</f>
        <v>8467335</v>
      </c>
      <c r="I84" s="7">
        <f>'Información completa'!Z71</f>
        <v>9154211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8"/>
    </row>
    <row r="85" spans="2:37" x14ac:dyDescent="0.3">
      <c r="B85" s="5"/>
      <c r="C85" s="9" t="s">
        <v>45</v>
      </c>
      <c r="D85" s="9" t="s">
        <v>1</v>
      </c>
      <c r="E85" s="9" t="s">
        <v>2</v>
      </c>
      <c r="F85" s="9" t="s">
        <v>3</v>
      </c>
      <c r="G85" s="9" t="s">
        <v>4</v>
      </c>
      <c r="H85" s="9" t="s">
        <v>5</v>
      </c>
      <c r="I85" s="9" t="s">
        <v>6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8"/>
    </row>
    <row r="86" spans="2:37" x14ac:dyDescent="0.3">
      <c r="B86" s="5"/>
      <c r="C86" s="7" t="s">
        <v>53</v>
      </c>
      <c r="D86" s="7">
        <v>1</v>
      </c>
      <c r="E86" s="7">
        <f>$D87/E87</f>
        <v>2.5156906765727411</v>
      </c>
      <c r="F86" s="7">
        <f t="shared" ref="F86" si="22">$D87/F87</f>
        <v>4.9997114317387688</v>
      </c>
      <c r="G86" s="7">
        <f t="shared" ref="G86" si="23">$D87/G87</f>
        <v>5.1980322919621704</v>
      </c>
      <c r="H86" s="7">
        <f t="shared" ref="H86" si="24">$D87/H87</f>
        <v>4.2976536269069463</v>
      </c>
      <c r="I86" s="7">
        <f>$D87/I87</f>
        <v>3.4531528528073379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8"/>
    </row>
    <row r="87" spans="2:37" x14ac:dyDescent="0.3">
      <c r="B87" s="5"/>
      <c r="C87" s="7" t="s">
        <v>49</v>
      </c>
      <c r="D87" s="7">
        <f>'Información completa'!AC71</f>
        <v>623213445</v>
      </c>
      <c r="E87" s="7">
        <f>'Información completa'!AD71</f>
        <v>247730554</v>
      </c>
      <c r="F87" s="7">
        <f>'Información completa'!AE71</f>
        <v>124649883</v>
      </c>
      <c r="G87" s="7">
        <f>'Información completa'!AF71</f>
        <v>119894108</v>
      </c>
      <c r="H87" s="7">
        <f>'Información completa'!AG71</f>
        <v>145012488</v>
      </c>
      <c r="I87" s="7">
        <f>'Información completa'!AH71</f>
        <v>180476646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8"/>
    </row>
    <row r="88" spans="2:37" x14ac:dyDescent="0.3"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8"/>
    </row>
    <row r="89" spans="2:37" x14ac:dyDescent="0.3"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8"/>
    </row>
    <row r="90" spans="2:37" x14ac:dyDescent="0.3"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8"/>
    </row>
    <row r="91" spans="2:37" x14ac:dyDescent="0.3"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8"/>
    </row>
    <row r="92" spans="2:37" x14ac:dyDescent="0.3"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8"/>
    </row>
    <row r="93" spans="2:37" x14ac:dyDescent="0.3"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8"/>
    </row>
    <row r="94" spans="2:37" x14ac:dyDescent="0.3"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8"/>
    </row>
    <row r="95" spans="2:37" x14ac:dyDescent="0.3"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8"/>
    </row>
    <row r="96" spans="2:37" x14ac:dyDescent="0.3"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8"/>
    </row>
    <row r="97" spans="2:37" x14ac:dyDescent="0.3"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8"/>
    </row>
    <row r="98" spans="2:37" x14ac:dyDescent="0.3"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8"/>
    </row>
    <row r="99" spans="2:37" x14ac:dyDescent="0.3"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8"/>
    </row>
    <row r="100" spans="2:37" x14ac:dyDescent="0.3"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8"/>
    </row>
    <row r="101" spans="2:37" x14ac:dyDescent="0.3"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8"/>
    </row>
    <row r="102" spans="2:37" x14ac:dyDescent="0.3"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8"/>
    </row>
    <row r="103" spans="2:37" x14ac:dyDescent="0.3"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8"/>
    </row>
    <row r="104" spans="2:37" x14ac:dyDescent="0.3"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8"/>
    </row>
    <row r="105" spans="2:37" x14ac:dyDescent="0.3"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8"/>
    </row>
    <row r="106" spans="2:37" x14ac:dyDescent="0.3"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8"/>
    </row>
    <row r="107" spans="2:37" x14ac:dyDescent="0.3"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8"/>
    </row>
    <row r="108" spans="2:37" x14ac:dyDescent="0.3"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8"/>
    </row>
    <row r="109" spans="2:37" x14ac:dyDescent="0.3"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8"/>
    </row>
    <row r="110" spans="2:37" x14ac:dyDescent="0.3"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8"/>
    </row>
    <row r="111" spans="2:37" x14ac:dyDescent="0.3"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8"/>
    </row>
    <row r="112" spans="2:37" x14ac:dyDescent="0.3"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8"/>
    </row>
    <row r="113" spans="2:37" x14ac:dyDescent="0.3">
      <c r="B113" s="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8"/>
    </row>
    <row r="114" spans="2:37" x14ac:dyDescent="0.3">
      <c r="B114" s="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8"/>
    </row>
    <row r="115" spans="2:37" x14ac:dyDescent="0.3">
      <c r="B115" s="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8"/>
    </row>
    <row r="116" spans="2:37" x14ac:dyDescent="0.3">
      <c r="B116" s="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8"/>
    </row>
    <row r="117" spans="2:37" x14ac:dyDescent="0.3">
      <c r="B117" s="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8"/>
    </row>
    <row r="118" spans="2:37" x14ac:dyDescent="0.3">
      <c r="B118" s="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8"/>
    </row>
    <row r="119" spans="2:37" x14ac:dyDescent="0.3">
      <c r="B119" s="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8"/>
    </row>
    <row r="120" spans="2:37" x14ac:dyDescent="0.3">
      <c r="B120" s="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8"/>
    </row>
    <row r="121" spans="2:37" x14ac:dyDescent="0.3">
      <c r="B121" s="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8"/>
    </row>
    <row r="122" spans="2:37" x14ac:dyDescent="0.3">
      <c r="B122" s="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8"/>
    </row>
    <row r="123" spans="2:37" x14ac:dyDescent="0.3">
      <c r="B123" s="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8"/>
    </row>
    <row r="124" spans="2:37" x14ac:dyDescent="0.3"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8"/>
    </row>
    <row r="125" spans="2:37" x14ac:dyDescent="0.3"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8"/>
    </row>
    <row r="126" spans="2:37" x14ac:dyDescent="0.3"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8"/>
    </row>
    <row r="127" spans="2:37" x14ac:dyDescent="0.3"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8"/>
    </row>
    <row r="128" spans="2:37" x14ac:dyDescent="0.3"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8"/>
    </row>
    <row r="129" spans="2:37" x14ac:dyDescent="0.3"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8"/>
    </row>
    <row r="130" spans="2:37" x14ac:dyDescent="0.3"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8"/>
    </row>
    <row r="131" spans="2:37" x14ac:dyDescent="0.3"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8"/>
    </row>
    <row r="132" spans="2:37" x14ac:dyDescent="0.3"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8"/>
    </row>
    <row r="133" spans="2:37" x14ac:dyDescent="0.3"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8"/>
    </row>
    <row r="134" spans="2:37" x14ac:dyDescent="0.3"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8"/>
    </row>
    <row r="135" spans="2:37" x14ac:dyDescent="0.3"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8"/>
    </row>
    <row r="136" spans="2:37" x14ac:dyDescent="0.3"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8"/>
    </row>
    <row r="137" spans="2:37" x14ac:dyDescent="0.3"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8"/>
    </row>
    <row r="138" spans="2:37" ht="28.95" customHeight="1" thickBot="1" x14ac:dyDescent="0.35">
      <c r="B138" s="1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2"/>
    </row>
    <row r="141" spans="2:37" ht="15" thickBot="1" x14ac:dyDescent="0.35"/>
    <row r="142" spans="2:37" x14ac:dyDescent="0.3"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4"/>
    </row>
    <row r="143" spans="2:37" ht="36.6" x14ac:dyDescent="0.7">
      <c r="B143" s="5"/>
      <c r="C143" s="6" t="s">
        <v>42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8"/>
    </row>
    <row r="144" spans="2:37" x14ac:dyDescent="0.3">
      <c r="B144" s="5"/>
      <c r="C144" s="9" t="s">
        <v>45</v>
      </c>
      <c r="D144" s="9" t="s">
        <v>1</v>
      </c>
      <c r="E144" s="9" t="s">
        <v>2</v>
      </c>
      <c r="F144" s="9" t="s">
        <v>3</v>
      </c>
      <c r="G144" s="9" t="s">
        <v>4</v>
      </c>
      <c r="H144" s="9" t="s">
        <v>5</v>
      </c>
      <c r="I144" s="9" t="s">
        <v>6</v>
      </c>
      <c r="J144" s="7"/>
      <c r="K144" s="47" t="s">
        <v>45</v>
      </c>
      <c r="L144" s="47"/>
      <c r="M144" s="9" t="s">
        <v>1</v>
      </c>
      <c r="N144" s="9" t="s">
        <v>2</v>
      </c>
      <c r="O144" s="9" t="s">
        <v>3</v>
      </c>
      <c r="P144" s="9" t="s">
        <v>4</v>
      </c>
      <c r="Q144" s="9" t="s">
        <v>5</v>
      </c>
      <c r="R144" s="9" t="s">
        <v>6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8"/>
    </row>
    <row r="145" spans="2:37" x14ac:dyDescent="0.3">
      <c r="B145" s="5"/>
      <c r="C145" s="7" t="s">
        <v>50</v>
      </c>
      <c r="D145" s="7">
        <v>1</v>
      </c>
      <c r="E145" s="7">
        <f>$D146/E146</f>
        <v>1.9642638928943266</v>
      </c>
      <c r="F145" s="7">
        <f t="shared" ref="F145" si="25">$D146/F146</f>
        <v>3.5353708640150616</v>
      </c>
      <c r="G145" s="7">
        <f t="shared" ref="G145" si="26">$D146/G146</f>
        <v>4.5739667869378646</v>
      </c>
      <c r="H145" s="7">
        <f t="shared" ref="H145" si="27">$D146/H146</f>
        <v>6.0172346669861048</v>
      </c>
      <c r="I145" s="7">
        <f t="shared" ref="I145" si="28">$D146/I146</f>
        <v>6.3911287116115592</v>
      </c>
      <c r="J145" s="7"/>
      <c r="K145" s="48" t="s">
        <v>54</v>
      </c>
      <c r="L145" s="48"/>
      <c r="M145" s="7">
        <f t="shared" ref="M145:R145" si="29">(D145+D148+D151+D154)/4</f>
        <v>1</v>
      </c>
      <c r="N145" s="7">
        <f t="shared" si="29"/>
        <v>2.2933745259694973</v>
      </c>
      <c r="O145" s="7">
        <f t="shared" si="29"/>
        <v>4.3655023703679694</v>
      </c>
      <c r="P145" s="7">
        <f t="shared" si="29"/>
        <v>5.1972988825575852</v>
      </c>
      <c r="Q145" s="7">
        <f t="shared" si="29"/>
        <v>6.1751551464919086</v>
      </c>
      <c r="R145" s="7">
        <f t="shared" si="29"/>
        <v>5.724421331548446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8"/>
    </row>
    <row r="146" spans="2:37" x14ac:dyDescent="0.3">
      <c r="B146" s="5"/>
      <c r="C146" s="7" t="s">
        <v>46</v>
      </c>
      <c r="D146" s="7">
        <f>'Información completa'!E107</f>
        <v>401855</v>
      </c>
      <c r="E146" s="7">
        <f>'Información completa'!F107</f>
        <v>204583</v>
      </c>
      <c r="F146" s="7">
        <f>'Información completa'!G107</f>
        <v>113667</v>
      </c>
      <c r="G146" s="7">
        <f>'Información completa'!H107</f>
        <v>87857</v>
      </c>
      <c r="H146" s="7">
        <f>'Información completa'!I107</f>
        <v>66784</v>
      </c>
      <c r="I146" s="7">
        <f>'Información completa'!J107</f>
        <v>62877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8"/>
    </row>
    <row r="147" spans="2:37" x14ac:dyDescent="0.3">
      <c r="B147" s="5"/>
      <c r="C147" s="9" t="s">
        <v>45</v>
      </c>
      <c r="D147" s="9" t="s">
        <v>1</v>
      </c>
      <c r="E147" s="9" t="s">
        <v>2</v>
      </c>
      <c r="F147" s="9" t="s">
        <v>3</v>
      </c>
      <c r="G147" s="9" t="s">
        <v>4</v>
      </c>
      <c r="H147" s="9" t="s">
        <v>5</v>
      </c>
      <c r="I147" s="9" t="s">
        <v>6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8"/>
    </row>
    <row r="148" spans="2:37" x14ac:dyDescent="0.3">
      <c r="B148" s="5"/>
      <c r="C148" s="7" t="s">
        <v>51</v>
      </c>
      <c r="D148" s="7">
        <v>1</v>
      </c>
      <c r="E148" s="7">
        <f>$D149/E149</f>
        <v>1.8503274842932749</v>
      </c>
      <c r="F148" s="7">
        <f t="shared" ref="F148" si="30">$D149/F149</f>
        <v>3.4903123390121746</v>
      </c>
      <c r="G148" s="7">
        <f t="shared" ref="G148" si="31">$D149/G149</f>
        <v>5.3546415545031838</v>
      </c>
      <c r="H148" s="7">
        <f t="shared" ref="H148" si="32">$D149/H149</f>
        <v>7.4861168720909506</v>
      </c>
      <c r="I148" s="7">
        <f>$D149/I149</f>
        <v>7.3005840443825534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8"/>
    </row>
    <row r="149" spans="2:37" x14ac:dyDescent="0.3">
      <c r="B149" s="5"/>
      <c r="C149" s="7" t="s">
        <v>47</v>
      </c>
      <c r="D149" s="7">
        <f>'Información completa'!M107</f>
        <v>4241267</v>
      </c>
      <c r="E149" s="7">
        <f>'Información completa'!N107</f>
        <v>2292171</v>
      </c>
      <c r="F149" s="7">
        <f>'Información completa'!O107</f>
        <v>1215154</v>
      </c>
      <c r="G149" s="7">
        <f>'Información completa'!P107</f>
        <v>792073</v>
      </c>
      <c r="H149" s="7">
        <f>'Información completa'!Q107</f>
        <v>566551</v>
      </c>
      <c r="I149" s="7">
        <f>'Información completa'!R107</f>
        <v>580949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8"/>
    </row>
    <row r="150" spans="2:37" x14ac:dyDescent="0.3">
      <c r="B150" s="5"/>
      <c r="C150" s="9" t="s">
        <v>45</v>
      </c>
      <c r="D150" s="9" t="s">
        <v>1</v>
      </c>
      <c r="E150" s="9" t="s">
        <v>2</v>
      </c>
      <c r="F150" s="9" t="s">
        <v>3</v>
      </c>
      <c r="G150" s="9" t="s">
        <v>4</v>
      </c>
      <c r="H150" s="9" t="s">
        <v>5</v>
      </c>
      <c r="I150" s="9" t="s">
        <v>6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8"/>
    </row>
    <row r="151" spans="2:37" x14ac:dyDescent="0.3">
      <c r="B151" s="5"/>
      <c r="C151" s="7" t="s">
        <v>52</v>
      </c>
      <c r="D151" s="7">
        <v>1</v>
      </c>
      <c r="E151" s="7">
        <f>$D152/E152</f>
        <v>2.1606014576802113</v>
      </c>
      <c r="F151" s="7">
        <f t="shared" ref="F151" si="33">$D152/F152</f>
        <v>4.6395842456072049</v>
      </c>
      <c r="G151" s="7">
        <f t="shared" ref="G151" si="34">$D152/G152</f>
        <v>5.546393522622469</v>
      </c>
      <c r="H151" s="7">
        <f t="shared" ref="H151" si="35">$D152/H152</f>
        <v>6.7713057279365092</v>
      </c>
      <c r="I151" s="7">
        <f>$D152/I152</f>
        <v>6.1711621475244005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8"/>
    </row>
    <row r="152" spans="2:37" x14ac:dyDescent="0.3">
      <c r="B152" s="5"/>
      <c r="C152" s="7" t="s">
        <v>48</v>
      </c>
      <c r="D152" s="7">
        <f>'Información completa'!U107</f>
        <v>49554142</v>
      </c>
      <c r="E152" s="7">
        <f>'Información completa'!V107</f>
        <v>22935346</v>
      </c>
      <c r="F152" s="7">
        <f>'Información completa'!W107</f>
        <v>10680729</v>
      </c>
      <c r="G152" s="7">
        <f>'Información completa'!X107</f>
        <v>8934480</v>
      </c>
      <c r="H152" s="7">
        <f>'Información completa'!Y107</f>
        <v>7318255</v>
      </c>
      <c r="I152" s="7">
        <f>'Información completa'!Z107</f>
        <v>8029953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8"/>
    </row>
    <row r="153" spans="2:37" x14ac:dyDescent="0.3">
      <c r="B153" s="5"/>
      <c r="C153" s="9" t="s">
        <v>45</v>
      </c>
      <c r="D153" s="9" t="s">
        <v>1</v>
      </c>
      <c r="E153" s="9" t="s">
        <v>2</v>
      </c>
      <c r="F153" s="9" t="s">
        <v>3</v>
      </c>
      <c r="G153" s="9" t="s">
        <v>4</v>
      </c>
      <c r="H153" s="9" t="s">
        <v>5</v>
      </c>
      <c r="I153" s="9" t="s">
        <v>6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8"/>
    </row>
    <row r="154" spans="2:37" x14ac:dyDescent="0.3">
      <c r="B154" s="5"/>
      <c r="C154" s="7" t="s">
        <v>53</v>
      </c>
      <c r="D154" s="7">
        <v>1</v>
      </c>
      <c r="E154" s="7">
        <f>$D155/E155</f>
        <v>3.1983052690101772</v>
      </c>
      <c r="F154" s="7">
        <f t="shared" ref="F154" si="36">$D155/F155</f>
        <v>5.7967420328374351</v>
      </c>
      <c r="G154" s="7">
        <f t="shared" ref="G154" si="37">$D155/G155</f>
        <v>5.3141936661668217</v>
      </c>
      <c r="H154" s="7">
        <f t="shared" ref="H154" si="38">$D155/H155</f>
        <v>4.4259633189540661</v>
      </c>
      <c r="I154" s="7">
        <f>$D155/I155</f>
        <v>3.0348104226752706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8"/>
    </row>
    <row r="155" spans="2:37" x14ac:dyDescent="0.3">
      <c r="B155" s="5"/>
      <c r="C155" s="7" t="s">
        <v>49</v>
      </c>
      <c r="D155" s="7">
        <f>'Información completa'!AC107</f>
        <v>752917908</v>
      </c>
      <c r="E155" s="7">
        <f>'Información completa'!AD107</f>
        <v>235411521</v>
      </c>
      <c r="F155" s="7">
        <f>'Información completa'!AE107</f>
        <v>129886392</v>
      </c>
      <c r="G155" s="7">
        <f>'Información completa'!AF107</f>
        <v>141680555</v>
      </c>
      <c r="H155" s="7">
        <f>'Información completa'!AG107</f>
        <v>170113906</v>
      </c>
      <c r="I155" s="7">
        <f>'Información completa'!AH107</f>
        <v>248093885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8"/>
    </row>
    <row r="156" spans="2:37" x14ac:dyDescent="0.3">
      <c r="B156" s="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8"/>
    </row>
    <row r="157" spans="2:37" x14ac:dyDescent="0.3">
      <c r="B157" s="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8"/>
    </row>
    <row r="158" spans="2:37" x14ac:dyDescent="0.3">
      <c r="B158" s="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8"/>
    </row>
    <row r="159" spans="2:37" x14ac:dyDescent="0.3">
      <c r="B159" s="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8"/>
    </row>
    <row r="160" spans="2:37" x14ac:dyDescent="0.3">
      <c r="B160" s="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8"/>
    </row>
    <row r="161" spans="2:37" x14ac:dyDescent="0.3">
      <c r="B161" s="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8"/>
    </row>
    <row r="162" spans="2:37" x14ac:dyDescent="0.3">
      <c r="B162" s="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8"/>
    </row>
    <row r="163" spans="2:37" x14ac:dyDescent="0.3">
      <c r="B163" s="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8"/>
    </row>
    <row r="164" spans="2:37" x14ac:dyDescent="0.3">
      <c r="B164" s="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8"/>
    </row>
    <row r="165" spans="2:37" x14ac:dyDescent="0.3">
      <c r="B165" s="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8"/>
    </row>
    <row r="166" spans="2:37" x14ac:dyDescent="0.3">
      <c r="B166" s="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8"/>
    </row>
    <row r="167" spans="2:37" x14ac:dyDescent="0.3">
      <c r="B167" s="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8"/>
    </row>
    <row r="168" spans="2:37" x14ac:dyDescent="0.3">
      <c r="B168" s="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8"/>
    </row>
    <row r="169" spans="2:37" x14ac:dyDescent="0.3">
      <c r="B169" s="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8"/>
    </row>
    <row r="170" spans="2:37" x14ac:dyDescent="0.3">
      <c r="B170" s="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8"/>
    </row>
    <row r="171" spans="2:37" x14ac:dyDescent="0.3">
      <c r="B171" s="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8"/>
    </row>
    <row r="172" spans="2:37" x14ac:dyDescent="0.3">
      <c r="B172" s="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8"/>
    </row>
    <row r="173" spans="2:37" x14ac:dyDescent="0.3">
      <c r="B173" s="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8"/>
    </row>
    <row r="174" spans="2:37" x14ac:dyDescent="0.3">
      <c r="B174" s="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8"/>
    </row>
    <row r="175" spans="2:37" x14ac:dyDescent="0.3">
      <c r="B175" s="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8"/>
    </row>
    <row r="176" spans="2:37" x14ac:dyDescent="0.3">
      <c r="B176" s="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8"/>
    </row>
    <row r="177" spans="2:37" x14ac:dyDescent="0.3">
      <c r="B177" s="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8"/>
    </row>
    <row r="178" spans="2:37" x14ac:dyDescent="0.3">
      <c r="B178" s="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8"/>
    </row>
    <row r="179" spans="2:37" x14ac:dyDescent="0.3">
      <c r="B179" s="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8"/>
    </row>
    <row r="180" spans="2:37" x14ac:dyDescent="0.3">
      <c r="B180" s="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8"/>
    </row>
    <row r="181" spans="2:37" x14ac:dyDescent="0.3">
      <c r="B181" s="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8"/>
    </row>
    <row r="182" spans="2:37" x14ac:dyDescent="0.3">
      <c r="B182" s="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8"/>
    </row>
    <row r="183" spans="2:37" x14ac:dyDescent="0.3">
      <c r="B183" s="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8"/>
    </row>
    <row r="184" spans="2:37" x14ac:dyDescent="0.3">
      <c r="B184" s="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8"/>
    </row>
    <row r="185" spans="2:37" x14ac:dyDescent="0.3">
      <c r="B185" s="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8"/>
    </row>
    <row r="186" spans="2:37" x14ac:dyDescent="0.3">
      <c r="B186" s="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8"/>
    </row>
    <row r="187" spans="2:37" x14ac:dyDescent="0.3">
      <c r="B187" s="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8"/>
    </row>
    <row r="188" spans="2:37" x14ac:dyDescent="0.3">
      <c r="B188" s="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8"/>
    </row>
    <row r="189" spans="2:37" x14ac:dyDescent="0.3">
      <c r="B189" s="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8"/>
    </row>
    <row r="190" spans="2:37" x14ac:dyDescent="0.3">
      <c r="B190" s="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8"/>
    </row>
    <row r="191" spans="2:37" x14ac:dyDescent="0.3">
      <c r="B191" s="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8"/>
    </row>
    <row r="192" spans="2:37" x14ac:dyDescent="0.3">
      <c r="B192" s="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8"/>
    </row>
    <row r="193" spans="2:37" x14ac:dyDescent="0.3">
      <c r="B193" s="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8"/>
    </row>
    <row r="194" spans="2:37" x14ac:dyDescent="0.3">
      <c r="B194" s="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8"/>
    </row>
    <row r="195" spans="2:37" x14ac:dyDescent="0.3">
      <c r="B195" s="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8"/>
    </row>
    <row r="196" spans="2:37" x14ac:dyDescent="0.3">
      <c r="B196" s="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8"/>
    </row>
    <row r="197" spans="2:37" x14ac:dyDescent="0.3">
      <c r="B197" s="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8"/>
    </row>
    <row r="198" spans="2:37" x14ac:dyDescent="0.3">
      <c r="B198" s="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8"/>
    </row>
    <row r="199" spans="2:37" x14ac:dyDescent="0.3">
      <c r="B199" s="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8"/>
    </row>
    <row r="200" spans="2:37" x14ac:dyDescent="0.3">
      <c r="B200" s="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8"/>
    </row>
    <row r="201" spans="2:37" x14ac:dyDescent="0.3">
      <c r="B201" s="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8"/>
    </row>
    <row r="202" spans="2:37" x14ac:dyDescent="0.3">
      <c r="B202" s="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8"/>
    </row>
    <row r="203" spans="2:37" x14ac:dyDescent="0.3">
      <c r="B203" s="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8"/>
    </row>
    <row r="204" spans="2:37" x14ac:dyDescent="0.3">
      <c r="B204" s="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8"/>
    </row>
    <row r="205" spans="2:37" x14ac:dyDescent="0.3">
      <c r="B205" s="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8"/>
    </row>
    <row r="206" spans="2:37" ht="30.45" customHeight="1" thickBot="1" x14ac:dyDescent="0.35">
      <c r="B206" s="1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2"/>
    </row>
    <row r="209" spans="2:37" ht="15" thickBot="1" x14ac:dyDescent="0.35"/>
    <row r="210" spans="2:37" x14ac:dyDescent="0.3"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4"/>
    </row>
    <row r="211" spans="2:37" ht="36.6" x14ac:dyDescent="0.7">
      <c r="B211" s="5"/>
      <c r="C211" s="6" t="s">
        <v>43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8"/>
    </row>
    <row r="212" spans="2:37" x14ac:dyDescent="0.3">
      <c r="B212" s="5"/>
      <c r="C212" s="9" t="s">
        <v>45</v>
      </c>
      <c r="D212" s="9" t="s">
        <v>1</v>
      </c>
      <c r="E212" s="9" t="s">
        <v>2</v>
      </c>
      <c r="F212" s="9" t="s">
        <v>3</v>
      </c>
      <c r="G212" s="9" t="s">
        <v>4</v>
      </c>
      <c r="H212" s="9" t="s">
        <v>5</v>
      </c>
      <c r="I212" s="9" t="s">
        <v>6</v>
      </c>
      <c r="J212" s="7"/>
      <c r="K212" s="47" t="s">
        <v>45</v>
      </c>
      <c r="L212" s="47"/>
      <c r="M212" s="9" t="s">
        <v>1</v>
      </c>
      <c r="N212" s="9" t="s">
        <v>2</v>
      </c>
      <c r="O212" s="9" t="s">
        <v>3</v>
      </c>
      <c r="P212" s="9" t="s">
        <v>4</v>
      </c>
      <c r="Q212" s="9" t="s">
        <v>5</v>
      </c>
      <c r="R212" s="9" t="s">
        <v>6</v>
      </c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8"/>
    </row>
    <row r="213" spans="2:37" x14ac:dyDescent="0.3">
      <c r="B213" s="5"/>
      <c r="C213" s="7" t="s">
        <v>50</v>
      </c>
      <c r="D213" s="7">
        <v>1</v>
      </c>
      <c r="E213" s="7">
        <f>$D214/E214</f>
        <v>1.8544051158812269</v>
      </c>
      <c r="F213" s="7">
        <f t="shared" ref="F213" si="39">$D214/F214</f>
        <v>2.760748286944394</v>
      </c>
      <c r="G213" s="7">
        <f t="shared" ref="G213" si="40">$D214/G214</f>
        <v>3.8447409534265087</v>
      </c>
      <c r="H213" s="7">
        <f t="shared" ref="H213" si="41">$D214/H214</f>
        <v>5.7026993173420175</v>
      </c>
      <c r="I213" s="7">
        <f t="shared" ref="I213" si="42">$D214/I214</f>
        <v>5.9967729188619598</v>
      </c>
      <c r="J213" s="7"/>
      <c r="K213" s="48" t="s">
        <v>54</v>
      </c>
      <c r="L213" s="48"/>
      <c r="M213" s="7">
        <f t="shared" ref="M213:R213" si="43">(D213+D216+D219+D222)/4</f>
        <v>1</v>
      </c>
      <c r="N213" s="7">
        <f t="shared" si="43"/>
        <v>1.8555702974086563</v>
      </c>
      <c r="O213" s="7">
        <f t="shared" si="43"/>
        <v>3.4305153048385431</v>
      </c>
      <c r="P213" s="7">
        <f t="shared" si="43"/>
        <v>4.5572645017760287</v>
      </c>
      <c r="Q213" s="7">
        <f t="shared" si="43"/>
        <v>6.4928978556551513</v>
      </c>
      <c r="R213" s="7">
        <f t="shared" si="43"/>
        <v>5.9829624617442727</v>
      </c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8"/>
    </row>
    <row r="214" spans="2:37" x14ac:dyDescent="0.3">
      <c r="B214" s="5"/>
      <c r="C214" s="7" t="s">
        <v>46</v>
      </c>
      <c r="D214" s="7">
        <f>'Información completa'!E143</f>
        <v>91055</v>
      </c>
      <c r="E214" s="7">
        <f>'Información completa'!F143</f>
        <v>49102</v>
      </c>
      <c r="F214" s="7">
        <f>'Información completa'!G143</f>
        <v>32982</v>
      </c>
      <c r="G214" s="7">
        <f>'Información completa'!H143</f>
        <v>23683</v>
      </c>
      <c r="H214" s="7">
        <f>'Información completa'!I143</f>
        <v>15967</v>
      </c>
      <c r="I214" s="7">
        <f>'Información completa'!J143</f>
        <v>15184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8"/>
    </row>
    <row r="215" spans="2:37" x14ac:dyDescent="0.3">
      <c r="B215" s="5"/>
      <c r="C215" s="9" t="s">
        <v>45</v>
      </c>
      <c r="D215" s="9" t="s">
        <v>1</v>
      </c>
      <c r="E215" s="9" t="s">
        <v>2</v>
      </c>
      <c r="F215" s="9" t="s">
        <v>3</v>
      </c>
      <c r="G215" s="9" t="s">
        <v>4</v>
      </c>
      <c r="H215" s="9" t="s">
        <v>5</v>
      </c>
      <c r="I215" s="9" t="s">
        <v>6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8"/>
    </row>
    <row r="216" spans="2:37" x14ac:dyDescent="0.3">
      <c r="B216" s="5"/>
      <c r="C216" s="7" t="s">
        <v>51</v>
      </c>
      <c r="D216" s="7">
        <v>1</v>
      </c>
      <c r="E216" s="7">
        <f>$D217/E217</f>
        <v>1.8381475310229658</v>
      </c>
      <c r="F216" s="7">
        <f t="shared" ref="F216" si="44">$D217/F217</f>
        <v>3.473481419912444</v>
      </c>
      <c r="G216" s="7">
        <f t="shared" ref="G216" si="45">$D217/G217</f>
        <v>4.9808641195929395</v>
      </c>
      <c r="H216" s="7">
        <f t="shared" ref="H216" si="46">$D217/H217</f>
        <v>7.068728005103174</v>
      </c>
      <c r="I216" s="7">
        <f>$D217/I217</f>
        <v>7.9565961017167934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8"/>
    </row>
    <row r="217" spans="2:37" x14ac:dyDescent="0.3">
      <c r="B217" s="5"/>
      <c r="C217" s="7" t="s">
        <v>47</v>
      </c>
      <c r="D217" s="7">
        <f>'Información completa'!M143</f>
        <v>986236</v>
      </c>
      <c r="E217" s="7">
        <f>'Información completa'!N143</f>
        <v>536538</v>
      </c>
      <c r="F217" s="7">
        <f>'Información completa'!O143</f>
        <v>283933</v>
      </c>
      <c r="G217" s="7">
        <f>'Información completa'!P143</f>
        <v>198005</v>
      </c>
      <c r="H217" s="7">
        <f>'Información completa'!Q143</f>
        <v>139521</v>
      </c>
      <c r="I217" s="7">
        <f>'Información completa'!R143</f>
        <v>123952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8"/>
    </row>
    <row r="218" spans="2:37" x14ac:dyDescent="0.3">
      <c r="B218" s="5"/>
      <c r="C218" s="9" t="s">
        <v>45</v>
      </c>
      <c r="D218" s="9" t="s">
        <v>1</v>
      </c>
      <c r="E218" s="9" t="s">
        <v>2</v>
      </c>
      <c r="F218" s="9" t="s">
        <v>3</v>
      </c>
      <c r="G218" s="9" t="s">
        <v>4</v>
      </c>
      <c r="H218" s="9" t="s">
        <v>5</v>
      </c>
      <c r="I218" s="9" t="s">
        <v>6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8"/>
    </row>
    <row r="219" spans="2:37" x14ac:dyDescent="0.3">
      <c r="B219" s="5"/>
      <c r="C219" s="7" t="s">
        <v>52</v>
      </c>
      <c r="D219" s="7">
        <v>1</v>
      </c>
      <c r="E219" s="7">
        <f>$D220/E220</f>
        <v>1.845992010762022</v>
      </c>
      <c r="F219" s="7">
        <f t="shared" ref="F219" si="47">$D220/F220</f>
        <v>3.9583067038398956</v>
      </c>
      <c r="G219" s="7">
        <f t="shared" ref="G219" si="48">$D220/G220</f>
        <v>5.0674821891493425</v>
      </c>
      <c r="H219" s="7">
        <f t="shared" ref="H219" si="49">$D220/H220</f>
        <v>7.3935126905560642</v>
      </c>
      <c r="I219" s="7">
        <f>$D220/I220</f>
        <v>6.262526988344943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8"/>
    </row>
    <row r="220" spans="2:37" x14ac:dyDescent="0.3">
      <c r="B220" s="5"/>
      <c r="C220" s="7" t="s">
        <v>48</v>
      </c>
      <c r="D220" s="7">
        <f>'Información completa'!U143</f>
        <v>8974364</v>
      </c>
      <c r="E220" s="7">
        <f>'Información completa'!V143</f>
        <v>4861540</v>
      </c>
      <c r="F220" s="7">
        <f>'Información completa'!W143</f>
        <v>2267223</v>
      </c>
      <c r="G220" s="7">
        <f>'Información completa'!X143</f>
        <v>1770971</v>
      </c>
      <c r="H220" s="7">
        <f>'Información completa'!Y143</f>
        <v>1213816</v>
      </c>
      <c r="I220" s="7">
        <f>'Información completa'!Z143</f>
        <v>1433026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8"/>
    </row>
    <row r="221" spans="2:37" x14ac:dyDescent="0.3">
      <c r="B221" s="5"/>
      <c r="C221" s="9" t="s">
        <v>45</v>
      </c>
      <c r="D221" s="9" t="s">
        <v>1</v>
      </c>
      <c r="E221" s="9" t="s">
        <v>2</v>
      </c>
      <c r="F221" s="9" t="s">
        <v>3</v>
      </c>
      <c r="G221" s="9" t="s">
        <v>4</v>
      </c>
      <c r="H221" s="9" t="s">
        <v>5</v>
      </c>
      <c r="I221" s="9" t="s">
        <v>6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8"/>
    </row>
    <row r="222" spans="2:37" x14ac:dyDescent="0.3">
      <c r="B222" s="5"/>
      <c r="C222" s="7" t="s">
        <v>53</v>
      </c>
      <c r="D222" s="7">
        <v>1</v>
      </c>
      <c r="E222" s="7">
        <f>$D223/E223</f>
        <v>1.8837365319684105</v>
      </c>
      <c r="F222" s="7">
        <f t="shared" ref="F222" si="50">$D223/F223</f>
        <v>3.5295248086574382</v>
      </c>
      <c r="G222" s="7">
        <f t="shared" ref="G222" si="51">$D223/G223</f>
        <v>4.3359707449353255</v>
      </c>
      <c r="H222" s="7">
        <f t="shared" ref="H222" si="52">$D223/H223</f>
        <v>5.8066514096193496</v>
      </c>
      <c r="I222" s="7">
        <f>$D223/I223</f>
        <v>3.7159538380533954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8"/>
    </row>
    <row r="223" spans="2:37" x14ac:dyDescent="0.3">
      <c r="B223" s="5"/>
      <c r="C223" s="7" t="s">
        <v>49</v>
      </c>
      <c r="D223" s="7">
        <f>'Información completa'!AC143</f>
        <v>64575660</v>
      </c>
      <c r="E223" s="7">
        <f>'Información completa'!AD143</f>
        <v>34280622</v>
      </c>
      <c r="F223" s="7">
        <f>'Información completa'!AE143</f>
        <v>18295851</v>
      </c>
      <c r="G223" s="7">
        <f>'Información completa'!AF143</f>
        <v>14893011</v>
      </c>
      <c r="H223" s="7">
        <f>'Información completa'!AG143</f>
        <v>11120981</v>
      </c>
      <c r="I223" s="7">
        <f>'Información completa'!AH143</f>
        <v>17377950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8"/>
    </row>
    <row r="224" spans="2:37" x14ac:dyDescent="0.3">
      <c r="B224" s="5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8"/>
    </row>
    <row r="225" spans="2:37" x14ac:dyDescent="0.3">
      <c r="B225" s="5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8"/>
    </row>
    <row r="226" spans="2:37" x14ac:dyDescent="0.3">
      <c r="B226" s="5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8"/>
    </row>
    <row r="227" spans="2:37" x14ac:dyDescent="0.3">
      <c r="B227" s="5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8"/>
    </row>
    <row r="228" spans="2:37" x14ac:dyDescent="0.3">
      <c r="B228" s="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8"/>
    </row>
    <row r="229" spans="2:37" x14ac:dyDescent="0.3">
      <c r="B229" s="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8"/>
    </row>
    <row r="230" spans="2:37" x14ac:dyDescent="0.3">
      <c r="B230" s="5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8"/>
    </row>
    <row r="231" spans="2:37" x14ac:dyDescent="0.3">
      <c r="B231" s="5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8"/>
    </row>
    <row r="232" spans="2:37" x14ac:dyDescent="0.3">
      <c r="B232" s="5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8"/>
    </row>
    <row r="233" spans="2:37" x14ac:dyDescent="0.3">
      <c r="B233" s="5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8"/>
    </row>
    <row r="234" spans="2:37" x14ac:dyDescent="0.3">
      <c r="B234" s="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8"/>
    </row>
    <row r="235" spans="2:37" x14ac:dyDescent="0.3">
      <c r="B235" s="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8"/>
    </row>
    <row r="236" spans="2:37" x14ac:dyDescent="0.3">
      <c r="B236" s="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8"/>
    </row>
    <row r="237" spans="2:37" x14ac:dyDescent="0.3">
      <c r="B237" s="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8"/>
    </row>
    <row r="238" spans="2:37" x14ac:dyDescent="0.3">
      <c r="B238" s="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8"/>
    </row>
    <row r="239" spans="2:37" x14ac:dyDescent="0.3">
      <c r="B239" s="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8"/>
    </row>
    <row r="240" spans="2:37" x14ac:dyDescent="0.3">
      <c r="B240" s="5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8"/>
    </row>
    <row r="241" spans="2:37" x14ac:dyDescent="0.3">
      <c r="B241" s="5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8"/>
    </row>
    <row r="242" spans="2:37" x14ac:dyDescent="0.3">
      <c r="B242" s="5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8"/>
    </row>
    <row r="243" spans="2:37" x14ac:dyDescent="0.3">
      <c r="B243" s="5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8"/>
    </row>
    <row r="244" spans="2:37" x14ac:dyDescent="0.3">
      <c r="B244" s="5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8"/>
    </row>
    <row r="245" spans="2:37" x14ac:dyDescent="0.3">
      <c r="B245" s="5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8"/>
    </row>
    <row r="246" spans="2:37" x14ac:dyDescent="0.3">
      <c r="B246" s="5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8"/>
    </row>
    <row r="247" spans="2:37" x14ac:dyDescent="0.3">
      <c r="B247" s="5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8"/>
    </row>
    <row r="248" spans="2:37" x14ac:dyDescent="0.3">
      <c r="B248" s="5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8"/>
    </row>
    <row r="249" spans="2:37" x14ac:dyDescent="0.3">
      <c r="B249" s="5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8"/>
    </row>
    <row r="250" spans="2:37" x14ac:dyDescent="0.3">
      <c r="B250" s="5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8"/>
    </row>
    <row r="251" spans="2:37" x14ac:dyDescent="0.3">
      <c r="B251" s="5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8"/>
    </row>
    <row r="252" spans="2:37" x14ac:dyDescent="0.3">
      <c r="B252" s="5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8"/>
    </row>
    <row r="253" spans="2:37" x14ac:dyDescent="0.3">
      <c r="B253" s="5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8"/>
    </row>
    <row r="254" spans="2:37" x14ac:dyDescent="0.3">
      <c r="B254" s="5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8"/>
    </row>
    <row r="255" spans="2:37" x14ac:dyDescent="0.3">
      <c r="B255" s="5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8"/>
    </row>
    <row r="256" spans="2:37" x14ac:dyDescent="0.3">
      <c r="B256" s="5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8"/>
    </row>
    <row r="257" spans="2:37" x14ac:dyDescent="0.3">
      <c r="B257" s="5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8"/>
    </row>
    <row r="258" spans="2:37" x14ac:dyDescent="0.3">
      <c r="B258" s="5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8"/>
    </row>
    <row r="259" spans="2:37" x14ac:dyDescent="0.3">
      <c r="B259" s="5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8"/>
    </row>
    <row r="260" spans="2:37" x14ac:dyDescent="0.3">
      <c r="B260" s="5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8"/>
    </row>
    <row r="261" spans="2:37" x14ac:dyDescent="0.3">
      <c r="B261" s="5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8"/>
    </row>
    <row r="262" spans="2:37" x14ac:dyDescent="0.3">
      <c r="B262" s="5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8"/>
    </row>
    <row r="263" spans="2:37" x14ac:dyDescent="0.3">
      <c r="B263" s="5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8"/>
    </row>
    <row r="264" spans="2:37" x14ac:dyDescent="0.3">
      <c r="B264" s="5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8"/>
    </row>
    <row r="265" spans="2:37" x14ac:dyDescent="0.3">
      <c r="B265" s="5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8"/>
    </row>
    <row r="266" spans="2:37" x14ac:dyDescent="0.3">
      <c r="B266" s="5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8"/>
    </row>
    <row r="267" spans="2:37" x14ac:dyDescent="0.3">
      <c r="B267" s="5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8"/>
    </row>
    <row r="268" spans="2:37" x14ac:dyDescent="0.3">
      <c r="B268" s="5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8"/>
    </row>
    <row r="269" spans="2:37" x14ac:dyDescent="0.3">
      <c r="B269" s="5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8"/>
    </row>
    <row r="270" spans="2:37" x14ac:dyDescent="0.3">
      <c r="B270" s="5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8"/>
    </row>
    <row r="271" spans="2:37" x14ac:dyDescent="0.3">
      <c r="B271" s="5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8"/>
    </row>
    <row r="272" spans="2:37" x14ac:dyDescent="0.3">
      <c r="B272" s="5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8"/>
    </row>
    <row r="273" spans="2:37" x14ac:dyDescent="0.3">
      <c r="B273" s="5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8"/>
    </row>
    <row r="274" spans="2:37" ht="28.95" customHeight="1" thickBot="1" x14ac:dyDescent="0.35">
      <c r="B274" s="10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2"/>
    </row>
  </sheetData>
  <mergeCells count="8">
    <mergeCell ref="K212:L212"/>
    <mergeCell ref="K213:L213"/>
    <mergeCell ref="K8:L8"/>
    <mergeCell ref="K9:L9"/>
    <mergeCell ref="K76:L76"/>
    <mergeCell ref="K77:L77"/>
    <mergeCell ref="K144:L144"/>
    <mergeCell ref="K145:L14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6CEE-D70F-4769-AFEA-1E86F20829F9}">
  <dimension ref="B2:O151"/>
  <sheetViews>
    <sheetView tabSelected="1" topLeftCell="A150" zoomScale="70" zoomScaleNormal="70" workbookViewId="0">
      <selection activeCell="J115" sqref="J115"/>
    </sheetView>
  </sheetViews>
  <sheetFormatPr baseColWidth="10" defaultRowHeight="14.4" x14ac:dyDescent="0.3"/>
  <cols>
    <col min="1" max="1" width="10.88671875" customWidth="1"/>
    <col min="2" max="2" width="2.77734375" customWidth="1"/>
    <col min="3" max="3" width="19.88671875" customWidth="1"/>
    <col min="4" max="4" width="21.77734375" customWidth="1"/>
    <col min="15" max="15" width="2.77734375" customWidth="1"/>
  </cols>
  <sheetData>
    <row r="2" spans="2:15" ht="15" thickBot="1" x14ac:dyDescent="0.35"/>
    <row r="3" spans="2:15" x14ac:dyDescent="0.3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2:15" ht="36.6" x14ac:dyDescent="0.7">
      <c r="B4" s="5"/>
      <c r="C4" s="7"/>
      <c r="D4" s="6" t="s">
        <v>55</v>
      </c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spans="2:15" x14ac:dyDescent="0.3">
      <c r="B5" s="5"/>
      <c r="C5" s="13"/>
      <c r="D5" s="9" t="str" cm="1">
        <f t="array" ref="D5:J5">'Gráficas SpeedUp'!C8:I8</f>
        <v># Hilos</v>
      </c>
      <c r="E5" s="9" t="str">
        <v>1 hilo</v>
      </c>
      <c r="F5" s="9" t="str">
        <v>2 hilos</v>
      </c>
      <c r="G5" s="9" t="str">
        <v>4 hilos</v>
      </c>
      <c r="H5" s="9" t="str">
        <v>8 hilos</v>
      </c>
      <c r="I5" s="9" t="str">
        <v>12 hilos</v>
      </c>
      <c r="J5" s="9" t="str">
        <v>32 hilos</v>
      </c>
      <c r="K5" s="7"/>
      <c r="L5" s="7"/>
      <c r="M5" s="7"/>
      <c r="N5" s="7"/>
      <c r="O5" s="8"/>
    </row>
    <row r="6" spans="2:15" ht="14.55" customHeight="1" x14ac:dyDescent="0.3">
      <c r="B6" s="5"/>
      <c r="C6" s="49" t="s">
        <v>60</v>
      </c>
      <c r="D6" s="14" t="s">
        <v>59</v>
      </c>
      <c r="E6" s="7" cm="1">
        <f t="array" ref="E6:J6">'Gráficas SpeedUp'!D10:I10</f>
        <v>401393</v>
      </c>
      <c r="F6" s="7">
        <v>203454</v>
      </c>
      <c r="G6" s="7">
        <v>112869</v>
      </c>
      <c r="H6" s="7">
        <v>88035</v>
      </c>
      <c r="I6" s="7">
        <v>66991</v>
      </c>
      <c r="J6" s="7">
        <v>72364</v>
      </c>
      <c r="K6" s="7"/>
      <c r="L6" s="7"/>
      <c r="M6" s="7"/>
      <c r="N6" s="7"/>
      <c r="O6" s="8"/>
    </row>
    <row r="7" spans="2:15" x14ac:dyDescent="0.3">
      <c r="B7" s="5"/>
      <c r="C7" s="49"/>
      <c r="D7" s="14" t="s">
        <v>56</v>
      </c>
      <c r="E7" s="7" cm="1">
        <f t="array" ref="E7:J7">'Gráficas SpeedUp'!D78:I78</f>
        <v>113661</v>
      </c>
      <c r="F7" s="7">
        <v>58327</v>
      </c>
      <c r="G7" s="7">
        <v>39320</v>
      </c>
      <c r="H7" s="7">
        <v>34029</v>
      </c>
      <c r="I7" s="7">
        <v>28014</v>
      </c>
      <c r="J7" s="7">
        <v>24829</v>
      </c>
      <c r="K7" s="7"/>
      <c r="L7" s="7"/>
      <c r="M7" s="7"/>
      <c r="N7" s="7"/>
      <c r="O7" s="8"/>
    </row>
    <row r="8" spans="2:15" x14ac:dyDescent="0.3">
      <c r="B8" s="5"/>
      <c r="C8" s="49"/>
      <c r="D8" s="14" t="s">
        <v>57</v>
      </c>
      <c r="E8" s="7" cm="1">
        <f t="array" ref="E8:J8">'Gráficas SpeedUp'!D146:I146</f>
        <v>401855</v>
      </c>
      <c r="F8" s="7">
        <v>204583</v>
      </c>
      <c r="G8" s="7">
        <v>113667</v>
      </c>
      <c r="H8" s="7">
        <v>87857</v>
      </c>
      <c r="I8" s="7">
        <v>66784</v>
      </c>
      <c r="J8" s="7">
        <v>62877</v>
      </c>
      <c r="K8" s="7"/>
      <c r="L8" s="7"/>
      <c r="M8" s="7"/>
      <c r="N8" s="7"/>
      <c r="O8" s="8"/>
    </row>
    <row r="9" spans="2:15" x14ac:dyDescent="0.3">
      <c r="B9" s="5"/>
      <c r="C9" s="49"/>
      <c r="D9" s="14" t="s">
        <v>58</v>
      </c>
      <c r="E9" s="7" cm="1">
        <f t="array" ref="E9:J9">'Gráficas SpeedUp'!D214:I214</f>
        <v>91055</v>
      </c>
      <c r="F9" s="7">
        <v>49102</v>
      </c>
      <c r="G9" s="7">
        <v>32982</v>
      </c>
      <c r="H9" s="7">
        <v>23683</v>
      </c>
      <c r="I9" s="7">
        <v>15967</v>
      </c>
      <c r="J9" s="7">
        <v>15184</v>
      </c>
      <c r="K9" s="7"/>
      <c r="L9" s="7"/>
      <c r="M9" s="7"/>
      <c r="N9" s="7"/>
      <c r="O9" s="8"/>
    </row>
    <row r="10" spans="2:15" x14ac:dyDescent="0.3"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2:15" x14ac:dyDescent="0.3"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2:15" x14ac:dyDescent="0.3">
      <c r="B12" s="5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2:15" x14ac:dyDescent="0.3">
      <c r="B13" s="5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</row>
    <row r="14" spans="2:15" x14ac:dyDescent="0.3">
      <c r="B14" s="5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2:15" x14ac:dyDescent="0.3">
      <c r="B15" s="5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</row>
    <row r="16" spans="2:15" x14ac:dyDescent="0.3">
      <c r="B16" s="5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</row>
    <row r="17" spans="2:15" x14ac:dyDescent="0.3">
      <c r="B17" s="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</row>
    <row r="18" spans="2:15" x14ac:dyDescent="0.3">
      <c r="B18" s="5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</row>
    <row r="19" spans="2:15" x14ac:dyDescent="0.3">
      <c r="B19" s="5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/>
    </row>
    <row r="20" spans="2:15" x14ac:dyDescent="0.3"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</row>
    <row r="21" spans="2:15" x14ac:dyDescent="0.3"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</row>
    <row r="22" spans="2:15" x14ac:dyDescent="0.3">
      <c r="B22" s="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/>
    </row>
    <row r="23" spans="2:15" x14ac:dyDescent="0.3">
      <c r="B23" s="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/>
    </row>
    <row r="24" spans="2:15" x14ac:dyDescent="0.3">
      <c r="B24" s="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/>
    </row>
    <row r="25" spans="2:15" x14ac:dyDescent="0.3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/>
    </row>
    <row r="26" spans="2:15" x14ac:dyDescent="0.3"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/>
    </row>
    <row r="27" spans="2:15" x14ac:dyDescent="0.3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/>
    </row>
    <row r="28" spans="2:15" x14ac:dyDescent="0.3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</row>
    <row r="29" spans="2:15" x14ac:dyDescent="0.3"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</row>
    <row r="30" spans="2:15" x14ac:dyDescent="0.3"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</row>
    <row r="31" spans="2:15" x14ac:dyDescent="0.3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/>
    </row>
    <row r="32" spans="2:15" x14ac:dyDescent="0.3"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/>
    </row>
    <row r="33" spans="2:15" x14ac:dyDescent="0.3"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/>
    </row>
    <row r="34" spans="2:15" x14ac:dyDescent="0.3"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/>
    </row>
    <row r="35" spans="2:15" x14ac:dyDescent="0.3"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/>
    </row>
    <row r="36" spans="2:15" x14ac:dyDescent="0.3"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/>
    </row>
    <row r="37" spans="2:15" ht="15" thickBot="1" x14ac:dyDescent="0.35"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</row>
    <row r="40" spans="2:15" ht="15" thickBot="1" x14ac:dyDescent="0.35"/>
    <row r="41" spans="2:15" x14ac:dyDescent="0.3"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"/>
    </row>
    <row r="42" spans="2:15" ht="36.6" x14ac:dyDescent="0.7">
      <c r="B42" s="5"/>
      <c r="C42" s="7"/>
      <c r="D42" s="6" t="s">
        <v>61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8"/>
    </row>
    <row r="43" spans="2:15" x14ac:dyDescent="0.3">
      <c r="B43" s="5"/>
      <c r="C43" s="13"/>
      <c r="D43" s="9" t="str" cm="1">
        <f t="array" ref="D43:J43">'Gráficas SpeedUp'!C76:I76</f>
        <v># Hilos</v>
      </c>
      <c r="E43" s="9" t="str">
        <v>1 hilo</v>
      </c>
      <c r="F43" s="9" t="str">
        <v>2 hilos</v>
      </c>
      <c r="G43" s="9" t="str">
        <v>4 hilos</v>
      </c>
      <c r="H43" s="9" t="str">
        <v>8 hilos</v>
      </c>
      <c r="I43" s="9" t="str">
        <v>12 hilos</v>
      </c>
      <c r="J43" s="9" t="str">
        <v>32 hilos</v>
      </c>
      <c r="K43" s="7"/>
      <c r="L43" s="7"/>
      <c r="M43" s="7"/>
      <c r="N43" s="7"/>
      <c r="O43" s="8"/>
    </row>
    <row r="44" spans="2:15" ht="14.55" customHeight="1" x14ac:dyDescent="0.3">
      <c r="B44" s="5"/>
      <c r="C44" s="49" t="s">
        <v>60</v>
      </c>
      <c r="D44" s="14" t="s">
        <v>59</v>
      </c>
      <c r="E44" s="7" cm="1">
        <f t="array" ref="E44:J44">'Gráficas SpeedUp'!D13:I13</f>
        <v>4242407</v>
      </c>
      <c r="F44" s="7">
        <v>2296733</v>
      </c>
      <c r="G44" s="7">
        <v>1213640</v>
      </c>
      <c r="H44" s="7">
        <v>793565</v>
      </c>
      <c r="I44" s="7">
        <v>569073</v>
      </c>
      <c r="J44" s="7">
        <v>619836</v>
      </c>
      <c r="K44" s="7"/>
      <c r="L44" s="7"/>
      <c r="M44" s="7"/>
      <c r="N44" s="7"/>
      <c r="O44" s="8"/>
    </row>
    <row r="45" spans="2:15" x14ac:dyDescent="0.3">
      <c r="B45" s="5"/>
      <c r="C45" s="49"/>
      <c r="D45" s="14" t="s">
        <v>56</v>
      </c>
      <c r="E45" s="7" cm="1">
        <f t="array" ref="E45:J45">'Gráficas SpeedUp'!D81:I81</f>
        <v>1725904</v>
      </c>
      <c r="F45" s="7">
        <v>1031268</v>
      </c>
      <c r="G45" s="7">
        <v>478448</v>
      </c>
      <c r="H45" s="7">
        <v>370850</v>
      </c>
      <c r="I45" s="7">
        <v>433295</v>
      </c>
      <c r="J45" s="7">
        <v>456457</v>
      </c>
      <c r="K45" s="7"/>
      <c r="L45" s="7"/>
      <c r="M45" s="7"/>
      <c r="N45" s="7"/>
      <c r="O45" s="8"/>
    </row>
    <row r="46" spans="2:15" x14ac:dyDescent="0.3">
      <c r="B46" s="5"/>
      <c r="C46" s="49"/>
      <c r="D46" s="14" t="s">
        <v>57</v>
      </c>
      <c r="E46" s="7" cm="1">
        <f t="array" ref="E46:J46">'Gráficas SpeedUp'!D149:I149</f>
        <v>4241267</v>
      </c>
      <c r="F46" s="7">
        <v>2292171</v>
      </c>
      <c r="G46" s="7">
        <v>1215154</v>
      </c>
      <c r="H46" s="7">
        <v>792073</v>
      </c>
      <c r="I46" s="7">
        <v>566551</v>
      </c>
      <c r="J46" s="7">
        <v>580949</v>
      </c>
      <c r="K46" s="7"/>
      <c r="L46" s="7"/>
      <c r="M46" s="7"/>
      <c r="N46" s="7"/>
      <c r="O46" s="8"/>
    </row>
    <row r="47" spans="2:15" x14ac:dyDescent="0.3">
      <c r="B47" s="5"/>
      <c r="C47" s="49"/>
      <c r="D47" s="14" t="s">
        <v>58</v>
      </c>
      <c r="E47" s="7" cm="1">
        <f t="array" ref="E47:J47">'Gráficas SpeedUp'!D217:I217</f>
        <v>986236</v>
      </c>
      <c r="F47" s="7">
        <v>536538</v>
      </c>
      <c r="G47" s="7">
        <v>283933</v>
      </c>
      <c r="H47" s="7">
        <v>198005</v>
      </c>
      <c r="I47" s="7">
        <v>139521</v>
      </c>
      <c r="J47" s="7">
        <v>123952</v>
      </c>
      <c r="K47" s="7"/>
      <c r="L47" s="7"/>
      <c r="M47" s="7"/>
      <c r="N47" s="7"/>
      <c r="O47" s="8"/>
    </row>
    <row r="48" spans="2:15" x14ac:dyDescent="0.3"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"/>
    </row>
    <row r="49" spans="2:15" x14ac:dyDescent="0.3">
      <c r="B49" s="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8"/>
    </row>
    <row r="50" spans="2:15" x14ac:dyDescent="0.3"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8"/>
    </row>
    <row r="51" spans="2:15" x14ac:dyDescent="0.3"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8"/>
    </row>
    <row r="52" spans="2:15" x14ac:dyDescent="0.3"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8"/>
    </row>
    <row r="53" spans="2:15" x14ac:dyDescent="0.3"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8"/>
    </row>
    <row r="54" spans="2:15" x14ac:dyDescent="0.3"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8"/>
    </row>
    <row r="55" spans="2:15" x14ac:dyDescent="0.3">
      <c r="B55" s="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8"/>
    </row>
    <row r="56" spans="2:15" x14ac:dyDescent="0.3"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8"/>
    </row>
    <row r="57" spans="2:15" x14ac:dyDescent="0.3"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8"/>
    </row>
    <row r="58" spans="2:15" x14ac:dyDescent="0.3"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8"/>
    </row>
    <row r="59" spans="2:15" x14ac:dyDescent="0.3"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8"/>
    </row>
    <row r="60" spans="2:15" x14ac:dyDescent="0.3"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8"/>
    </row>
    <row r="61" spans="2:15" x14ac:dyDescent="0.3">
      <c r="B61" s="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8"/>
    </row>
    <row r="62" spans="2:15" x14ac:dyDescent="0.3"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8"/>
    </row>
    <row r="63" spans="2:15" x14ac:dyDescent="0.3"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8"/>
    </row>
    <row r="64" spans="2:15" x14ac:dyDescent="0.3"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8"/>
    </row>
    <row r="65" spans="2:15" x14ac:dyDescent="0.3">
      <c r="B65" s="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8"/>
    </row>
    <row r="66" spans="2:15" x14ac:dyDescent="0.3"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8"/>
    </row>
    <row r="67" spans="2:15" x14ac:dyDescent="0.3">
      <c r="B67" s="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8"/>
    </row>
    <row r="68" spans="2:15" x14ac:dyDescent="0.3">
      <c r="B68" s="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8"/>
    </row>
    <row r="69" spans="2:15" x14ac:dyDescent="0.3"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8"/>
    </row>
    <row r="70" spans="2:15" x14ac:dyDescent="0.3">
      <c r="B70" s="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8"/>
    </row>
    <row r="71" spans="2:15" x14ac:dyDescent="0.3">
      <c r="B71" s="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8"/>
    </row>
    <row r="72" spans="2:15" x14ac:dyDescent="0.3"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8"/>
    </row>
    <row r="73" spans="2:15" x14ac:dyDescent="0.3">
      <c r="B73" s="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8"/>
    </row>
    <row r="74" spans="2:15" x14ac:dyDescent="0.3">
      <c r="B74" s="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8"/>
    </row>
    <row r="75" spans="2:15" ht="15" thickBot="1" x14ac:dyDescent="0.35"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2"/>
    </row>
    <row r="78" spans="2:15" ht="15" thickBot="1" x14ac:dyDescent="0.35"/>
    <row r="79" spans="2:15" x14ac:dyDescent="0.3"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4"/>
    </row>
    <row r="80" spans="2:15" ht="36.6" x14ac:dyDescent="0.7">
      <c r="B80" s="5"/>
      <c r="C80" s="7"/>
      <c r="D80" s="6" t="s">
        <v>62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8"/>
    </row>
    <row r="81" spans="2:15" x14ac:dyDescent="0.3">
      <c r="B81" s="5"/>
      <c r="C81" s="13"/>
      <c r="D81" s="9" t="str" cm="1">
        <f t="array" ref="D81:J81">'Gráficas SpeedUp'!C144:I144</f>
        <v># Hilos</v>
      </c>
      <c r="E81" s="9" t="str">
        <v>1 hilo</v>
      </c>
      <c r="F81" s="9" t="str">
        <v>2 hilos</v>
      </c>
      <c r="G81" s="9" t="str">
        <v>4 hilos</v>
      </c>
      <c r="H81" s="9" t="str">
        <v>8 hilos</v>
      </c>
      <c r="I81" s="9" t="str">
        <v>12 hilos</v>
      </c>
      <c r="J81" s="9" t="str">
        <v>32 hilos</v>
      </c>
      <c r="K81" s="7"/>
      <c r="L81" s="7"/>
      <c r="M81" s="7"/>
      <c r="N81" s="7"/>
      <c r="O81" s="8"/>
    </row>
    <row r="82" spans="2:15" x14ac:dyDescent="0.3">
      <c r="B82" s="5"/>
      <c r="C82" s="49" t="s">
        <v>60</v>
      </c>
      <c r="D82" s="14" t="s">
        <v>59</v>
      </c>
      <c r="E82" s="7" cm="1">
        <f t="array" ref="E82:J82">'Gráficas SpeedUp'!D16:I16</f>
        <v>49537467</v>
      </c>
      <c r="F82" s="7">
        <v>22686368</v>
      </c>
      <c r="G82" s="7">
        <v>10643457</v>
      </c>
      <c r="H82" s="7">
        <v>8858331</v>
      </c>
      <c r="I82" s="7">
        <v>7350716</v>
      </c>
      <c r="J82" s="7">
        <v>8402492</v>
      </c>
      <c r="K82" s="7"/>
      <c r="L82" s="7"/>
      <c r="M82" s="7"/>
      <c r="N82" s="7"/>
      <c r="O82" s="8"/>
    </row>
    <row r="83" spans="2:15" x14ac:dyDescent="0.3">
      <c r="B83" s="5"/>
      <c r="C83" s="49"/>
      <c r="D83" s="14" t="s">
        <v>56</v>
      </c>
      <c r="E83" s="7" cm="1">
        <f t="array" ref="E83:J83">'Gráficas SpeedUp'!D84:I84</f>
        <v>46858618</v>
      </c>
      <c r="F83" s="7">
        <v>21837120</v>
      </c>
      <c r="G83" s="7">
        <v>9399608</v>
      </c>
      <c r="H83" s="7">
        <v>8048086</v>
      </c>
      <c r="I83" s="7">
        <v>8467335</v>
      </c>
      <c r="J83" s="7">
        <v>9154211</v>
      </c>
      <c r="K83" s="7"/>
      <c r="L83" s="7"/>
      <c r="M83" s="7"/>
      <c r="N83" s="7"/>
      <c r="O83" s="8"/>
    </row>
    <row r="84" spans="2:15" x14ac:dyDescent="0.3">
      <c r="B84" s="5"/>
      <c r="C84" s="49"/>
      <c r="D84" s="14" t="s">
        <v>57</v>
      </c>
      <c r="E84" s="7" cm="1">
        <f t="array" ref="E84:J84">'Gráficas SpeedUp'!D152:I152</f>
        <v>49554142</v>
      </c>
      <c r="F84" s="7">
        <v>22935346</v>
      </c>
      <c r="G84" s="7">
        <v>10680729</v>
      </c>
      <c r="H84" s="7">
        <v>8934480</v>
      </c>
      <c r="I84" s="7">
        <v>7318255</v>
      </c>
      <c r="J84" s="7">
        <v>8029953</v>
      </c>
      <c r="K84" s="7"/>
      <c r="L84" s="7"/>
      <c r="M84" s="7"/>
      <c r="N84" s="7"/>
      <c r="O84" s="8"/>
    </row>
    <row r="85" spans="2:15" x14ac:dyDescent="0.3">
      <c r="B85" s="5"/>
      <c r="C85" s="49"/>
      <c r="D85" s="14" t="s">
        <v>58</v>
      </c>
      <c r="E85" s="7" cm="1">
        <f t="array" ref="E85:J85">'Gráficas SpeedUp'!D220:I220</f>
        <v>8974364</v>
      </c>
      <c r="F85" s="7">
        <v>4861540</v>
      </c>
      <c r="G85" s="7">
        <v>2267223</v>
      </c>
      <c r="H85" s="7">
        <v>1770971</v>
      </c>
      <c r="I85" s="7">
        <v>1213816</v>
      </c>
      <c r="J85" s="7">
        <v>1433026</v>
      </c>
      <c r="K85" s="7"/>
      <c r="L85" s="7"/>
      <c r="M85" s="7"/>
      <c r="N85" s="7"/>
      <c r="O85" s="8"/>
    </row>
    <row r="86" spans="2:15" x14ac:dyDescent="0.3">
      <c r="B86" s="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8"/>
    </row>
    <row r="87" spans="2:15" x14ac:dyDescent="0.3">
      <c r="B87" s="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8"/>
    </row>
    <row r="88" spans="2:15" x14ac:dyDescent="0.3"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8"/>
    </row>
    <row r="89" spans="2:15" x14ac:dyDescent="0.3"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8"/>
    </row>
    <row r="90" spans="2:15" x14ac:dyDescent="0.3"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8"/>
    </row>
    <row r="91" spans="2:15" x14ac:dyDescent="0.3"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8"/>
    </row>
    <row r="92" spans="2:15" x14ac:dyDescent="0.3"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8"/>
    </row>
    <row r="93" spans="2:15" x14ac:dyDescent="0.3"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8"/>
    </row>
    <row r="94" spans="2:15" x14ac:dyDescent="0.3"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8"/>
    </row>
    <row r="95" spans="2:15" x14ac:dyDescent="0.3"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8"/>
    </row>
    <row r="96" spans="2:15" x14ac:dyDescent="0.3"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8"/>
    </row>
    <row r="97" spans="2:15" x14ac:dyDescent="0.3"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8"/>
    </row>
    <row r="98" spans="2:15" x14ac:dyDescent="0.3"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8"/>
    </row>
    <row r="99" spans="2:15" x14ac:dyDescent="0.3"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8"/>
    </row>
    <row r="100" spans="2:15" x14ac:dyDescent="0.3"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8"/>
    </row>
    <row r="101" spans="2:15" x14ac:dyDescent="0.3"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/>
    </row>
    <row r="102" spans="2:15" x14ac:dyDescent="0.3"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8"/>
    </row>
    <row r="103" spans="2:15" x14ac:dyDescent="0.3"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8"/>
    </row>
    <row r="104" spans="2:15" x14ac:dyDescent="0.3"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8"/>
    </row>
    <row r="105" spans="2:15" x14ac:dyDescent="0.3"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8"/>
    </row>
    <row r="106" spans="2:15" x14ac:dyDescent="0.3"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8"/>
    </row>
    <row r="107" spans="2:15" x14ac:dyDescent="0.3"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8"/>
    </row>
    <row r="108" spans="2:15" x14ac:dyDescent="0.3"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8"/>
    </row>
    <row r="109" spans="2:15" x14ac:dyDescent="0.3"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8"/>
    </row>
    <row r="110" spans="2:15" x14ac:dyDescent="0.3"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8"/>
    </row>
    <row r="111" spans="2:15" x14ac:dyDescent="0.3"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8"/>
    </row>
    <row r="112" spans="2:15" x14ac:dyDescent="0.3"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8"/>
    </row>
    <row r="113" spans="2:15" ht="15" thickBot="1" x14ac:dyDescent="0.35"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2"/>
    </row>
    <row r="116" spans="2:15" ht="15" thickBot="1" x14ac:dyDescent="0.35"/>
    <row r="117" spans="2:15" x14ac:dyDescent="0.3"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4"/>
    </row>
    <row r="118" spans="2:15" ht="36.6" x14ac:dyDescent="0.7">
      <c r="B118" s="5"/>
      <c r="C118" s="7"/>
      <c r="D118" s="6" t="s">
        <v>63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8"/>
    </row>
    <row r="119" spans="2:15" x14ac:dyDescent="0.3">
      <c r="B119" s="5"/>
      <c r="C119" s="13"/>
      <c r="D119" s="9" t="str" cm="1">
        <f t="array" ref="D119:J119">'Gráficas SpeedUp'!C212:I212</f>
        <v># Hilos</v>
      </c>
      <c r="E119" s="9" t="str">
        <v>1 hilo</v>
      </c>
      <c r="F119" s="9" t="str">
        <v>2 hilos</v>
      </c>
      <c r="G119" s="9" t="str">
        <v>4 hilos</v>
      </c>
      <c r="H119" s="9" t="str">
        <v>8 hilos</v>
      </c>
      <c r="I119" s="9" t="str">
        <v>12 hilos</v>
      </c>
      <c r="J119" s="9" t="str">
        <v>32 hilos</v>
      </c>
      <c r="K119" s="7"/>
      <c r="L119" s="7"/>
      <c r="M119" s="7"/>
      <c r="N119" s="7"/>
      <c r="O119" s="8"/>
    </row>
    <row r="120" spans="2:15" x14ac:dyDescent="0.3">
      <c r="B120" s="5"/>
      <c r="C120" s="49" t="s">
        <v>60</v>
      </c>
      <c r="D120" s="14" t="s">
        <v>59</v>
      </c>
      <c r="E120" s="7" cm="1">
        <f t="array" ref="E120:J120">'Gráficas SpeedUp'!D19:I19</f>
        <v>730248566</v>
      </c>
      <c r="F120" s="7">
        <v>240286906</v>
      </c>
      <c r="G120" s="7">
        <v>134957985</v>
      </c>
      <c r="H120" s="7">
        <v>159173441</v>
      </c>
      <c r="I120" s="7">
        <v>184200283</v>
      </c>
      <c r="J120" s="7">
        <v>249491308</v>
      </c>
      <c r="K120" s="7"/>
      <c r="L120" s="7"/>
      <c r="M120" s="7"/>
      <c r="N120" s="7"/>
      <c r="O120" s="8"/>
    </row>
    <row r="121" spans="2:15" x14ac:dyDescent="0.3">
      <c r="B121" s="5"/>
      <c r="C121" s="49"/>
      <c r="D121" s="14" t="s">
        <v>56</v>
      </c>
      <c r="E121" s="7" cm="1">
        <f t="array" ref="E121:J121">'Gráficas SpeedUp'!D87:I87</f>
        <v>623213445</v>
      </c>
      <c r="F121" s="7">
        <v>247730554</v>
      </c>
      <c r="G121" s="7">
        <v>124649883</v>
      </c>
      <c r="H121" s="7">
        <v>119894108</v>
      </c>
      <c r="I121" s="7">
        <v>145012488</v>
      </c>
      <c r="J121" s="7">
        <v>180476646</v>
      </c>
      <c r="K121" s="7"/>
      <c r="L121" s="7"/>
      <c r="M121" s="7"/>
      <c r="N121" s="7"/>
      <c r="O121" s="8"/>
    </row>
    <row r="122" spans="2:15" x14ac:dyDescent="0.3">
      <c r="B122" s="5"/>
      <c r="C122" s="49"/>
      <c r="D122" s="14" t="s">
        <v>57</v>
      </c>
      <c r="E122" s="7" cm="1">
        <f t="array" ref="E122:J122">'Gráficas SpeedUp'!D155:I155</f>
        <v>752917908</v>
      </c>
      <c r="F122" s="7">
        <v>235411521</v>
      </c>
      <c r="G122" s="7">
        <v>129886392</v>
      </c>
      <c r="H122" s="7">
        <v>141680555</v>
      </c>
      <c r="I122" s="7">
        <v>170113906</v>
      </c>
      <c r="J122" s="7">
        <v>248093885</v>
      </c>
      <c r="K122" s="7"/>
      <c r="L122" s="7"/>
      <c r="M122" s="7"/>
      <c r="N122" s="7"/>
      <c r="O122" s="8"/>
    </row>
    <row r="123" spans="2:15" x14ac:dyDescent="0.3">
      <c r="B123" s="5"/>
      <c r="C123" s="49"/>
      <c r="D123" s="14" t="s">
        <v>58</v>
      </c>
      <c r="E123" s="7" cm="1">
        <f t="array" ref="E123:J123">'Gráficas SpeedUp'!D223:I223</f>
        <v>64575660</v>
      </c>
      <c r="F123" s="7">
        <v>34280622</v>
      </c>
      <c r="G123" s="7">
        <v>18295851</v>
      </c>
      <c r="H123" s="7">
        <v>14893011</v>
      </c>
      <c r="I123" s="7">
        <v>11120981</v>
      </c>
      <c r="J123" s="7">
        <v>17377950</v>
      </c>
      <c r="K123" s="7"/>
      <c r="L123" s="7"/>
      <c r="M123" s="7"/>
      <c r="N123" s="7"/>
      <c r="O123" s="8"/>
    </row>
    <row r="124" spans="2:15" x14ac:dyDescent="0.3"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8"/>
    </row>
    <row r="125" spans="2:15" x14ac:dyDescent="0.3"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8"/>
    </row>
    <row r="126" spans="2:15" x14ac:dyDescent="0.3"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8"/>
    </row>
    <row r="127" spans="2:15" x14ac:dyDescent="0.3"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8"/>
    </row>
    <row r="128" spans="2:15" x14ac:dyDescent="0.3"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8"/>
    </row>
    <row r="129" spans="2:15" x14ac:dyDescent="0.3"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8"/>
    </row>
    <row r="130" spans="2:15" x14ac:dyDescent="0.3"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8"/>
    </row>
    <row r="131" spans="2:15" x14ac:dyDescent="0.3"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8"/>
    </row>
    <row r="132" spans="2:15" x14ac:dyDescent="0.3"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8"/>
    </row>
    <row r="133" spans="2:15" x14ac:dyDescent="0.3"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8"/>
    </row>
    <row r="134" spans="2:15" x14ac:dyDescent="0.3"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8"/>
    </row>
    <row r="135" spans="2:15" x14ac:dyDescent="0.3"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8"/>
    </row>
    <row r="136" spans="2:15" x14ac:dyDescent="0.3"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8"/>
    </row>
    <row r="137" spans="2:15" x14ac:dyDescent="0.3"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8"/>
    </row>
    <row r="138" spans="2:15" x14ac:dyDescent="0.3">
      <c r="B138" s="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8"/>
    </row>
    <row r="139" spans="2:15" x14ac:dyDescent="0.3">
      <c r="B139" s="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8"/>
    </row>
    <row r="140" spans="2:15" x14ac:dyDescent="0.3">
      <c r="B140" s="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8"/>
    </row>
    <row r="141" spans="2:15" x14ac:dyDescent="0.3">
      <c r="B141" s="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8"/>
    </row>
    <row r="142" spans="2:15" x14ac:dyDescent="0.3">
      <c r="B142" s="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8"/>
    </row>
    <row r="143" spans="2:15" x14ac:dyDescent="0.3">
      <c r="B143" s="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8"/>
    </row>
    <row r="144" spans="2:15" x14ac:dyDescent="0.3">
      <c r="B144" s="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8"/>
    </row>
    <row r="145" spans="2:15" x14ac:dyDescent="0.3">
      <c r="B145" s="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8"/>
    </row>
    <row r="146" spans="2:15" x14ac:dyDescent="0.3">
      <c r="B146" s="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8"/>
    </row>
    <row r="147" spans="2:15" x14ac:dyDescent="0.3">
      <c r="B147" s="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8"/>
    </row>
    <row r="148" spans="2:15" x14ac:dyDescent="0.3">
      <c r="B148" s="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8"/>
    </row>
    <row r="149" spans="2:15" x14ac:dyDescent="0.3">
      <c r="B149" s="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8"/>
    </row>
    <row r="150" spans="2:15" x14ac:dyDescent="0.3">
      <c r="B150" s="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8"/>
    </row>
    <row r="151" spans="2:15" ht="15" thickBot="1" x14ac:dyDescent="0.35"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2"/>
    </row>
  </sheetData>
  <mergeCells count="4">
    <mergeCell ref="C120:C123"/>
    <mergeCell ref="C6:C9"/>
    <mergeCell ref="C44:C47"/>
    <mergeCell ref="C82:C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Información completa</vt:lpstr>
      <vt:lpstr>Gráficas SpeedUp</vt:lpstr>
      <vt:lpstr>Gráficas Tiempos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Ramirez Vargas</dc:creator>
  <cp:lastModifiedBy>Guillermo Andres Aponte Cardenas</cp:lastModifiedBy>
  <dcterms:created xsi:type="dcterms:W3CDTF">2025-11-03T08:10:09Z</dcterms:created>
  <dcterms:modified xsi:type="dcterms:W3CDTF">2025-11-06T05:12:09Z</dcterms:modified>
</cp:coreProperties>
</file>